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Users/ang95681/Library/Application Support/Fabasoft/"/>
    </mc:Choice>
  </mc:AlternateContent>
  <xr:revisionPtr revIDLastSave="44" documentId="8_{F380BEEF-DC27-D647-B84E-AEDA9059F2E0}" xr6:coauthVersionLast="47" xr6:coauthVersionMax="47" xr10:uidLastSave="{FD6391CD-0FC9-48B5-A734-FC5481BC5FDF}"/>
  <bookViews>
    <workbookView xWindow="23560" yWindow="500" windowWidth="27480" windowHeight="28160" xr2:uid="{FD356AC0-0A15-8947-8477-7780340CC02F}"/>
  </bookViews>
  <sheets>
    <sheet name="Metrics" sheetId="1" r:id="rId1"/>
    <sheet name="Metrics Legend" sheetId="5" r:id="rId2"/>
    <sheet name="Workshop Input Source Code" sheetId="3" r:id="rId3"/>
    <sheet name="Controls" sheetId="2" r:id="rId4"/>
    <sheet name="Clouditor-Pilot" sheetId="4" r:id="rId5"/>
  </sheets>
  <definedNames>
    <definedName name="_xlnm._FilterDatabase" localSheetId="0" hidden="1">Metrics!$A$1:$P$1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5" i="1" l="1"/>
  <c r="Q97" i="1"/>
  <c r="Q98" i="1"/>
  <c r="Q99" i="1"/>
  <c r="Q96" i="1"/>
  <c r="Q93" i="1"/>
  <c r="Q92" i="1"/>
  <c r="Q89" i="1"/>
  <c r="Q88" i="1"/>
  <c r="Q87" i="1"/>
  <c r="Q59" i="1"/>
  <c r="Q54" i="1"/>
  <c r="Q47" i="1"/>
  <c r="Q48" i="1"/>
  <c r="Q45" i="1"/>
  <c r="Q46" i="1"/>
  <c r="Q44" i="1"/>
  <c r="Q43" i="1"/>
  <c r="Q42" i="1"/>
  <c r="Q41" i="1"/>
  <c r="Q26" i="1"/>
  <c r="Q24" i="1"/>
  <c r="Q23" i="1"/>
  <c r="Q18" i="1"/>
  <c r="Q8" i="1"/>
  <c r="Q9" i="1"/>
  <c r="Q7" i="1"/>
  <c r="J25" i="1"/>
  <c r="J9" i="1"/>
  <c r="J8" i="1"/>
  <c r="J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tc={16BFA6BD-7FA8-1E41-8079-CEE863249609}</author>
    <author>tc={BB53358F-0236-4C70-8356-A04CC367CBD0}</author>
  </authors>
  <commentList>
    <comment ref="B54" authorId="0" shapeId="0" xr:uid="{16BFA6BD-7FA8-1E41-8079-CEE863249609}">
      <text>
        <t xml:space="preserve">[Threaded comment]
Your version of Excel allows you to read this threaded comment; however, any edits to it will get removed if the file is opened in a newer version of Excel. Learn more: https://go.microsoft.com/fwlink/?linkid=870924
Comment:
    Delete?
</t>
      </text>
    </comment>
    <comment ref="B58" authorId="1" shapeId="0" xr:uid="{BB53358F-0236-4C70-8356-A04CC367CBD0}">
      <text>
        <t>[Threaded comment]
Your version of Excel allows you to read this threaded comment; however, any edits to it will get removed if the file is opened in a newer version of Excel. Learn more: https://go.microsoft.com/fwlink/?linkid=870924
Comment:
    we want to get rid of the "TLS" metrics but rather only use the more generic transport encryption metrics already defined in clouditor
Reply:
    I think you mean the TransportEncryptionProtocol and TransportEncryptionProtocolVersion below. I think we can remove TlsVersion.</t>
      </text>
    </comment>
  </commentList>
</comments>
</file>

<file path=xl/sharedStrings.xml><?xml version="1.0" encoding="utf-8"?>
<sst xmlns="http://schemas.openxmlformats.org/spreadsheetml/2006/main" count="1222" uniqueCount="601">
  <si>
    <t>Category</t>
  </si>
  <si>
    <t>ID</t>
  </si>
  <si>
    <t>Name</t>
  </si>
  <si>
    <t>Description</t>
  </si>
  <si>
    <t>"Selector" (concepts and properties)
(Add path from the SecurityFeature, if no SecurityFeature is linked use the path from the resource)</t>
  </si>
  <si>
    <t>Scale</t>
  </si>
  <si>
    <t>Datatype</t>
  </si>
  <si>
    <t>Range</t>
  </si>
  <si>
    <t>Operator</t>
  </si>
  <si>
    <t>Target Expression</t>
  </si>
  <si>
    <t>Evidence From tool</t>
  </si>
  <si>
    <t>Possible Control ID
Scheme</t>
  </si>
  <si>
    <t>eknows-e3 Implementation 
Feasibility</t>
  </si>
  <si>
    <t>Comment</t>
  </si>
  <si>
    <t>Implemented in eknows-e3 
extractor</t>
  </si>
  <si>
    <t>Available in security-metrics repo https://github.com/Cybersecurity-Certification-Hub/security-metrics</t>
  </si>
  <si>
    <t>Name in security-metrics repo</t>
  </si>
  <si>
    <t>Will be implemented in eknows?</t>
  </si>
  <si>
    <t>Vulnerability Management</t>
  </si>
  <si>
    <t>NumberOfKnownLowVulnerabilities</t>
  </si>
  <si>
    <t>The number of detected known vulnerabilities with low rating in the asset</t>
  </si>
  <si>
    <t>Resource.Code.Component, Functionality.Vulnerability</t>
  </si>
  <si>
    <t>Ordinal</t>
  </si>
  <si>
    <t>Count</t>
  </si>
  <si>
    <t>0; infinite</t>
  </si>
  <si>
    <t>==</t>
  </si>
  <si>
    <t>Codyze</t>
  </si>
  <si>
    <t>BSI C5 OPS-22
BSI C5 PSS-02</t>
  </si>
  <si>
    <t>pom + CVE, best practices</t>
  </si>
  <si>
    <t>NumberOfKnownMediumVulnerabilities</t>
  </si>
  <si>
    <t>The number of detected known vulnerabilities with average rating in the asset</t>
  </si>
  <si>
    <t>NumberOfKnownHighVulnerabilities</t>
  </si>
  <si>
    <t>The number of detected known vulnerabilities with high rating in the asset</t>
  </si>
  <si>
    <t>NumberOfKnownCriticalVulnerabilities</t>
  </si>
  <si>
    <t>The number of detected known vulnerabilities with critical rating in the asset</t>
  </si>
  <si>
    <t>CodeRepositoryVulnerabilityMonitoringEnabled</t>
  </si>
  <si>
    <t>Checks whether the automatic monitoring of vulnerabilities is enabled in code repository.</t>
  </si>
  <si>
    <t>Resource.Infrastructure.CodeRepository</t>
  </si>
  <si>
    <t>Boolean</t>
  </si>
  <si>
    <t>true;false</t>
  </si>
  <si>
    <t>true</t>
  </si>
  <si>
    <t>EUCS CO-03.5H</t>
  </si>
  <si>
    <t>JGit or REST API (GitHub/GitLab)</t>
  </si>
  <si>
    <t>Which tool?</t>
  </si>
  <si>
    <t>Development LifeCycle</t>
  </si>
  <si>
    <t>CodeSignOff</t>
  </si>
  <si>
    <t>Checks if commits in the repository have a sign-off line in the commit messages.</t>
  </si>
  <si>
    <t>Percentage</t>
  </si>
  <si>
    <t>0;100</t>
  </si>
  <si>
    <t>BSI DEV-07
BSI DEV-08</t>
  </si>
  <si>
    <t>SignedCommits</t>
  </si>
  <si>
    <t>Checks whether commits in the repository have valid cryptographic signatures.</t>
  </si>
  <si>
    <t>ApprovedCommitAuthor</t>
  </si>
  <si>
    <t>Checks whether the authors of the commits are allowed to contribute.</t>
  </si>
  <si>
    <t>Why do we have BSI DEV-08? From which Pilot is it coming?</t>
  </si>
  <si>
    <t>UsageOfSASTInDevPipeline</t>
  </si>
  <si>
    <t>The usage of SAST in the Development Pipeline (e.g. GitHub Actions); The number?</t>
  </si>
  <si>
    <t>CICDTemplate?</t>
  </si>
  <si>
    <t>&gt;=</t>
  </si>
  <si>
    <t>BSI C5 PSS-02</t>
  </si>
  <si>
    <t>UsageOfDASTInDevPipeline</t>
  </si>
  <si>
    <t>PercentageOfPullRequestsWithReviews</t>
  </si>
  <si>
    <t>Percentage of Pull Requets that are merged that have code reviews</t>
  </si>
  <si>
    <t>CICDTemplate?, maybe add new concept PullRequest (Merge Request) with id, text, comment, reviewer and so on</t>
  </si>
  <si>
    <t>&gt;</t>
  </si>
  <si>
    <t>BSI C5 PSS-02
BSI DEV-09</t>
  </si>
  <si>
    <t>JGit or REST API (GitHub/GitLab), 
potential SDL extension</t>
  </si>
  <si>
    <t>RequiredReviewers</t>
  </si>
  <si>
    <t>Number of reviewers required to merge a pull request</t>
  </si>
  <si>
    <t>HasProvenanceAttestation</t>
  </si>
  <si>
    <t>List</t>
  </si>
  <si>
    <t>{SBOM,  SignedImage, HardenedBaseImage, CodeAnalysis, SignedBuild, …}</t>
  </si>
  <si>
    <t>EUCS CCM-05.4H</t>
  </si>
  <si>
    <t>EndpointSecurity</t>
  </si>
  <si>
    <t>AutomaticSoftwareUpdatesEnabled</t>
  </si>
  <si>
    <t>Checks if automatic updates are enabled for software, or packages.</t>
  </si>
  <si>
    <t>SecurityFeature.Integrity.AutomaticUpdate</t>
  </si>
  <si>
    <t>Clouditor-Discovery</t>
  </si>
  <si>
    <t>EUCS OPS-18.6H</t>
  </si>
  <si>
    <t>Maybe, in code or configuration, if GitOps Tools are used.</t>
  </si>
  <si>
    <t>AutomaticUpdatesEnabled for Virtual Machines</t>
  </si>
  <si>
    <t>AutomaticSoftwareUpdatesInterval</t>
  </si>
  <si>
    <t>Checks how frequently automatic updates are configured to run (in days, hours, etc.).</t>
  </si>
  <si>
    <t>Days</t>
  </si>
  <si>
    <t>Time Interval</t>
  </si>
  <si>
    <t>0;infinite</t>
  </si>
  <si>
    <t>AutomatiUpdatesInterval for Virtual Machines</t>
  </si>
  <si>
    <t>AutomaticSoftwareUpdatesSecurityOnly</t>
  </si>
  <si>
    <t>MalwareProtectionEnabled</t>
  </si>
  <si>
    <t>SecurityFeature.Auditing.MalwareProtection</t>
  </si>
  <si>
    <t>BSI OPS-05
OPS-05.3H</t>
  </si>
  <si>
    <t>SecureMalwareProtectionStorage</t>
  </si>
  <si>
    <t>String</t>
  </si>
  <si>
    <t>MalwareProtectionOutput, that metric does not check if it is a "secure" storage</t>
  </si>
  <si>
    <t>MalwareProtectionSignatureUpdateEnabled</t>
  </si>
  <si>
    <t>Whether malware protection signature updates are enabled</t>
  </si>
  <si>
    <t>MalwareProtectionSignatureUpdateInterval</t>
  </si>
  <si>
    <t>Update interval for malware protection's signatures, should be daily for BSI C5.</t>
  </si>
  <si>
    <t>minutes</t>
  </si>
  <si>
    <t>BSI OPS-05
BSI OPS-04
OPS-05.3H</t>
  </si>
  <si>
    <t xml:space="preserve">Do we want to add a separate metric or could we somehow ensure that it is set to maximum daily? </t>
  </si>
  <si>
    <t>MalwareProtectionReportsPerMonthGenerated</t>
  </si>
  <si>
    <t>The number of reports generated by the malware protection system per month</t>
  </si>
  <si>
    <t>BSI OPS-04</t>
  </si>
  <si>
    <t>Identity Management</t>
  </si>
  <si>
    <t>AdminMFAEnabled</t>
  </si>
  <si>
    <t>Resource.Infrastructure.Identifiable.Identity WHERE priviliged == true</t>
  </si>
  <si>
    <t>IdentityPasswordPolicyEnabled</t>
  </si>
  <si>
    <t>Checks whether the standard password policy has been disabled for a user</t>
  </si>
  <si>
    <t>Resource.Infrastructure.Identifiable.Identity WHERE activated == true</t>
  </si>
  <si>
    <t>BSI C5 IDM-09</t>
  </si>
  <si>
    <t>IdentityTimeSinceLastActivity</t>
  </si>
  <si>
    <t>The last activity of an active user must be recent</t>
  </si>
  <si>
    <t>BSI C5 IDM-03</t>
  </si>
  <si>
    <t>ObjectStoragePublicAccessDisabled</t>
  </si>
  <si>
    <t>Resource.Infrastructure.Storage.ObjectStorage</t>
  </si>
  <si>
    <t>UserCanBeExemptedFromInactivityDisablement</t>
  </si>
  <si>
    <t>EUCS IAM-03.1B</t>
  </si>
  <si>
    <t>UserDisableMechanismAfterInactivity</t>
  </si>
  <si>
    <t>Boolean (do we need that: | List {Watchdog, OnAccess, None})</t>
  </si>
  <si>
    <t>EUCS IAM-03.1B
BSI C5 IDM-03</t>
  </si>
  <si>
    <t>UnsuccessfulLoginAttemptsBlocker</t>
  </si>
  <si>
    <t>Checks whether unsuccesful login attempts lead to some kind of blocking</t>
  </si>
  <si>
    <t xml:space="preserve">List </t>
  </si>
  <si>
    <t>{ConstDelay, GrowingDelay, Lock, "Delete/Wipe"}</t>
  </si>
  <si>
    <t>EUCS IAM-07.3B</t>
  </si>
  <si>
    <t>How many consecutive login attempts are allowed?
What is the consequence of the failed attempt? What kind of locking mechanism is used?</t>
  </si>
  <si>
    <t>PruneDisabledAccounts</t>
  </si>
  <si>
    <t>Boolean | List {Watchdog, None}</t>
  </si>
  <si>
    <t>PasswordPolicyPasswordLength</t>
  </si>
  <si>
    <t>Checks the minimum length of a password</t>
  </si>
  <si>
    <t>SecurityFeature.Authenticity.PasswordBasedAuthentication, Resource.Infrasrtucture.PaswordPolicy (properties for this should be defined)</t>
  </si>
  <si>
    <t>BSI C5 IDM-11</t>
  </si>
  <si>
    <t>Probably, in code or configuration (e.g. Spring Security, in application.yml or when configuring AuthenticationManager)</t>
  </si>
  <si>
    <t>How long should passwords be?</t>
  </si>
  <si>
    <t>PasswordPolicyPasswordAge</t>
  </si>
  <si>
    <t>Checks, if passwords expiry according to the policy</t>
  </si>
  <si>
    <t>&lt;=</t>
  </si>
  <si>
    <t>What is the passwords maximum age according to the password policy?</t>
  </si>
  <si>
    <t>PasswordPolicyComplianceEnforced</t>
  </si>
  <si>
    <t>When creating a new password, it must be compliant with the password policy.</t>
  </si>
  <si>
    <t>BSI C5 IDM-08
BSI C5 IDM-09</t>
  </si>
  <si>
    <t>InitialPasswordChangeEnabled</t>
  </si>
  <si>
    <t xml:space="preserve">Checks, if password must be changed after first login. </t>
  </si>
  <si>
    <t>PasswordRetention</t>
  </si>
  <si>
    <t>Checks how many last old passwords are kept.</t>
  </si>
  <si>
    <t>IAM-08.1H
BSI C5 IDM-11</t>
  </si>
  <si>
    <t>MaxLoginAttempts</t>
  </si>
  <si>
    <t>Checks how many failed login attempts are allowed before the account gets blocked.</t>
  </si>
  <si>
    <t>IAM-03.2H
BSI C5 IDM-11</t>
  </si>
  <si>
    <t>LoginBlockDuration</t>
  </si>
  <si>
    <t>Checks how long the account stays locked after too many failed login attempts</t>
  </si>
  <si>
    <t>Minutes</t>
  </si>
  <si>
    <t>IAM-03.5H
BSI C5 IDM-11</t>
  </si>
  <si>
    <t>MFAEnabled</t>
  </si>
  <si>
    <t>Checks, if multi-factor authentication is enabled and at least 2FA.</t>
  </si>
  <si>
    <t>SecureAuthenticationMethodsEnabled</t>
  </si>
  <si>
    <t>Checks, if secure authentication methods are enabeld, e.g., password, certificates, MFA, …</t>
  </si>
  <si>
    <t>Inventory</t>
  </si>
  <si>
    <t>ResourceInventory</t>
  </si>
  <si>
    <t>Logging &amp; Monitoring</t>
  </si>
  <si>
    <t>AnomalyDetectionEnabled</t>
  </si>
  <si>
    <t>SecurityFeature.Auditing.AnomalyDetection</t>
  </si>
  <si>
    <t>BSI OPS-05
BSI C5 COS-01</t>
  </si>
  <si>
    <t>Remove BSI C5 COS-01 ? We are not able to check something based on a risk analysis</t>
  </si>
  <si>
    <t>AnomalyDetectionOutput</t>
  </si>
  <si>
    <t>BootLoogingEnabled</t>
  </si>
  <si>
    <t>??</t>
  </si>
  <si>
    <t>OSLoggingEnabled</t>
  </si>
  <si>
    <t>BootLoggingRetention</t>
  </si>
  <si>
    <t>The time the log data must be kept</t>
  </si>
  <si>
    <t>SecurityFeature.Auditing.Logging</t>
  </si>
  <si>
    <t>BSI OPS-12
BSI OPS-14
EUCS OPS-13.9H</t>
  </si>
  <si>
    <t>OSLoggingRetention</t>
  </si>
  <si>
    <t>BootLoggingOutput</t>
  </si>
  <si>
    <t>OSLoggingOutput</t>
  </si>
  <si>
    <t>LoggingDeleteAfterRetention</t>
  </si>
  <si>
    <t>The data must be deleted after the retention</t>
  </si>
  <si>
    <t>LoggingServiceAuthentication</t>
  </si>
  <si>
    <t>The log storage must have authentication</t>
  </si>
  <si>
    <t>Resource.Infrastructure.NetworkService.LoggingService which is connected to logging</t>
  </si>
  <si>
    <t>BSI OPS-12
BSI OPS-14</t>
  </si>
  <si>
    <t>LoggingStorageAuthentication</t>
  </si>
  <si>
    <t>The log service must have authentication</t>
  </si>
  <si>
    <t>StorageService which is connected to logging</t>
  </si>
  <si>
    <t>LoggingStorageImmutability</t>
  </si>
  <si>
    <t>The log must be stored immutable</t>
  </si>
  <si>
    <t>Storage which is connected to logging</t>
  </si>
  <si>
    <t>BSI OPS-14</t>
  </si>
  <si>
    <t>LoggingServiceTransportEncryption</t>
  </si>
  <si>
    <t>The log service must have transport encryption</t>
  </si>
  <si>
    <t>ActivityLoggingEnabled?</t>
  </si>
  <si>
    <t>EUCS OPS-02.1H</t>
  </si>
  <si>
    <t>Session Management</t>
  </si>
  <si>
    <t>SessionManagementMechanism</t>
  </si>
  <si>
    <t>List { DatabaseBased, ExpireeToken, None, ??? }</t>
  </si>
  <si>
    <t>BSI C5 PSS-06</t>
  </si>
  <si>
    <t xml:space="preserve">maybe? </t>
  </si>
  <si>
    <t>SessionExpirationMechanism</t>
  </si>
  <si>
    <t>List { InactiveBasedOnSessionStart, InactiveAfterLastRequest, AfterUnauthorizedRequest, None }</t>
  </si>
  <si>
    <t>SessionTimeout</t>
  </si>
  <si>
    <t>Crypto</t>
  </si>
  <si>
    <t>TlsVersion</t>
  </si>
  <si>
    <t>Checks that only secure TLS versions (e.g. TLS 1.2, TLS 1.3) are used.</t>
  </si>
  <si>
    <t>SecurityFeature.Confidentiality.TransportEncryption (property: protocol and protocolVersion)</t>
  </si>
  <si>
    <t>{'1.0', '1.1', '1.2', '1.3'}</t>
  </si>
  <si>
    <t>isIn</t>
  </si>
  <si>
    <t>{'1.2', '1.3'}</t>
  </si>
  <si>
    <t>BSI C5 CRY-02</t>
  </si>
  <si>
    <t>Implemented</t>
  </si>
  <si>
    <t>Combine with other TransportEncryptionProtocolVersion metric?</t>
  </si>
  <si>
    <t>TransportEncryptionProtocolVersion</t>
  </si>
  <si>
    <t>TlsCipherSuites</t>
  </si>
  <si>
    <t>Checks that only secure cypher suites are used.</t>
  </si>
  <si>
    <t xml:space="preserve">Functionality.CipherSuite </t>
  </si>
  <si>
    <r>
      <rPr>
        <b/>
        <sz val="12"/>
        <color rgb="FF000000"/>
        <rFont val="Aptos Narrow"/>
        <scheme val="minor"/>
      </rPr>
      <t xml:space="preserve">For TlsV1.2:
</t>
    </r>
    <r>
      <rPr>
        <sz val="12"/>
        <color rgb="FF000000"/>
        <rFont val="Aptos Narrow"/>
        <scheme val="minor"/>
      </rPr>
      <t xml:space="preserve">{'TLS_ECDHE_ECDSA_WITH_AES_128_GCM_SHA256 (0xC0, 0x2B)',
'TLS_ECDHE_ECDSA_WITH_AES_256_GCM_SHA384 (0xC0, 0x2C)',
'TLS_ECDHE_ECDSA_WITH_AES_128_CCM (0xC0, 0xAC)',
 'TLS_ECDHE_ECDSA_WITH_AES_256_CCM (0xC0, 0xAD)',
'TLS_ECDHE_ECDSA_WITH_AES_128_CCM_8 (0xC0, 0xAE)',
'TLS_ECDHE_ECDSA_WITH_AES_256_CCM_8 (0xC0, 0xAF)',
'TLS_ECDHE_ECDSA_WITH_AES_128_CBC_SHA256 (0xC0, 0x23)',
'TLS_ECDHE_ECDSA_WITH_AES_256_CBC_SHA384 (0xC0, 0x24)',
'TLS_ECDHE_ECDSA_WITH_AES_128_CBC_SHA21 (0xC0, 0x09)',
'TLS_ECDHE_ECDSA_WITH_AES_256_CBC_SHA (0xC0, 0x0A)',
'TLS_ECDHE_RSA_WITH_AES_128_GCM_SHA256 (0xC0, 0x2F)',
'TLS_ECDHE_RSA_WITH_AES_256_GCM_SHA384 (0xC0, 0x30)',
'TLS_DHE_RSA_WITH_AES_128_GCM_SHA256 (0x00, 0x9E)',
'TLS_DHE_RSA_WITH_AES_256_GCM_SHA384 (0x00, 0x9F)',
'TLS_DHE_RSA_WITH_AES_128_CCM (0xC0, 0x9E)',
'TLS_DHE_RSA_WITH_AES_256_CCM (0xC0, 0x9F)',
'TLS_DHE_RSA_WITH_AES_128_CCM_8 (0xC0, 0xA2)',
'TLS_DHE_RSA_WITH_AES_256_CCM_8 (0xC0, 0xA3)',
'TLS_ECDHE_RSA_WITH_AES_128_CBC_SHA256 (0xC0, 0x27)',
'TLS_ECDHE_RSA_WITH_AES_256_CBC_SHA384 (0xC0, 0x28)',
'TLS_DHE_RSA_WITH_AES_128_CBC_SHA256 (0x00, 0x67)',
'TLS_DHE_RSA_WITH_AES_256_CBC_SHA256 (0x00, 0x6B)',
'TLS_ECDHE_RSA_WITH_AES_128_CBC_SHA (0xC0, 0x13)',
'TLS_ECDHE_RSA_WITH_AES_256_CBC_SHA (0xC0, 0x14)',
 'TLS_DHE_RSA_WITH_AES_128_CBC_SHA (0x00, 0x33)',
'TLS_DHE_RSA_WITH_AES_256_CBC_SHA (0x00, 0x39)',
'TLS_DHE_DSS_WITH_AES_128_GCM_SHA256 (0x00, 0xA2)',
'TLS_DHE_DSS_WITH_AES_256_GCM_SHA384 (0x00, 0xA3)',
'TLS_DHE_DSS_WITH_AES_128_CBC_SHA256 (0x00, 0x40)',
'TLS_DHE_DSS_WITH_AES_256_CBC_SHA256 (0x00, 0x6A)',
'TLS_DHE_DSS_WITH_AES_128_CBC_SHA (0x00, 0x32)',
'TLS_DHE_DSS_WITH_AES_256_CBC_SHA (0x00, 0x38)',
'TLS_DH_DSS_WITH_AES_128_GCM_SHA256 (0x00, 0xA4)',
'TLS_DH_DSS_WITH_AES_256_GCM_SHA384 (0x00, 0xA5)',
'TLS_DH_DSS_WITH_AES_128_CBC_SHA256 (0x00, 0x3E)',
'TLS_DH_DSS_WITH_AES_256_CBC_SHA256 (0x00, 0x68)',
'TLS_DH_DSS_WITH_AES_128_CBC_SHA (0x00, 0x30)',
'TLS_DH_DSS_WITH_AES_256_CBC_SHA (0x00, 0x36)',
'TLS_DH_RSA_WITH_AES_128_GCM_SHA256 (0x00, 0xA0)',
'TLS_DH_RSA_WITH_AES_256_GCM_SHA384 (0x00, 0xA1)',
'TLS_DH_RSA_WITH_AES_128_CBC_SHA256 (0x00, 0x3F)',
'TLS_DH_RSA_WITH_AES_256_CBC_SHA256 (0x00, 0x69)',
'TLS_DH_RSA_WITH_AES_128_CBC_SHA (0x00, 0x31)',
'TLS_DH_RSA_WITH_AES_256_CBC_SHA (0x00, 0x37)',
'TLS_ECDH_ECDSA_WITH_AES_128_GCM_SHA256 (0xC0, 0x2D)',
'TLS_ECDH_ECDSA_WITH_AES_256_GCM_SHA384 (0xC0, 0x2E)',
'TLS_ECDH_ECDSA_WITH_AES_128_CBC_SHA256 (0xC0, 0x25)',
'TLS_ECDH_ECDSA_WITH_AES_256_CBC_SHA384 (0xC0, 0x26)',
'TLS_ECDH_ECDSA_WITH_AES_128_CBC_SHA (0xC0, 0x04)',
'TLS_ECDH_ECDSA_WITH_AES_256_CBC_SHA (0xC0, 0x05)',
'TLS_ECDH_RSA_WITH_AES_128_GCM_SHA256 (0xC0, 0x31)',
'TLS_ECDH_RSA_WITH_AES_256_GCM_SHA384 (0xC0, 0x32)',
'TLS_ECDH_RSA_WITH_AES_128_CBC_SHA256 (0xC0, 0x29)',
'TLS_ECDH_RSA_WITH_AES_256_CBC_SHA384 (0xC0, 0x2A)',
'TLS_ECDH_RSA_WITH_AES_128_CBC_SHA (0xC0, 0x0E)',
'TLS_ECDH_RSA_WITH_AES_256_CBC_SHA (0xC0, 0x0F)',
'TLS_DHE_PSK_WITH_AES_128_GCM_SHA256 (0x00, 0xAA)',
'TLS_DHE_PSK_WITH_AES_256_GCM_SHA384 (0x00, 0xAB)',
'TLS_ECDHE_PSK_WITH_AES_128_CBC_SHA256 (0xC0, 0x37)',
'TLS_ECDHE_PSK_WITH_AES_256_CBC_SHA384 (0xC0, 0x38)',
'TLS_DHE_PSK_WITH_AES_128_CCM (0xC0, 0xA6)',
'TLS_DHE_PSK_WITH_AES_256_CCM (0xC0, 0xA7)',
'TLS_PSK_DHE_WITH_AES_128_CCM_8 (0xC0, 0xAA)',
'TLS_PSK_DHE_WITH_AES_256_CCM_8 (0xC0, 0xAB)',
'TLS_DHE_PSK_WITH_AES_128_CBC_SHA256 (0x00, 0xB2)',
'TLS_DHE_PSK_WITH_AES_256_CBC_SHA384 (0x00, 0xB3)',
'TLS_PSK_WITH_AES_128_GCM_SHA256 (0x00, 0xA8)',
'TLS_PSK_WITH_AES_256_GCM_SHA384 (0x00, 0xA9)',
 'TLS_PSK_WITH_AES_128_CCM (0xC0, 0xA4)',
'TLS_PSK_WITH_AES_256_CCM (0xC0, 0xA5)',
'TLS_PSK_WITH_AES_128_CCM_8 (0xC0, 0xA8)',
'TLS_PSK_WITH_AES_256_CCM_8 (0xC0, 0xA9)',
'TLS_PSK_WITH_AES_128_CBC_SHA256 (0x00, 0xAE)',
'TLS_PSK_WITH_AES_256_CBC_SHA384 (0x00, 0xAF)',
'TLS_ECDHE_PSK_WITH_AES_128_CBC_SHA (0xC0, 0x35)',
'TLS_ECDHE_PSK_WITH_AES_256_CBC_SHA (0xC0, 0x36)',
'TLS_DHE_PSK_WITH_AES_128_CBC_SHA (0x00, 0x90)',
'TLS_DHE_PSK_WITH_AES_256_CBC_SHA (0x00, 0x91)',
'TLS_PSK_WITH_AES_128_CBC_SHA (0x00, 0x8C)',
'TLS_PSK_WITH_AES_256_CBC_SHA (0x00, 0x8D)'
'TLS_RSA_WITH_AES_128_CCM (xC0, x9C)',
'TLS_RSA_WITH_AES_256_CCM (xC0, x9D)',
'TLS_RSA_WITH_AES_128_CCM_8 (xC0, xA0)',
'TLS_RSA_WITH_AES_256_CCM_8 (xC0, xA1)',
'TLS_RSA_WITH_AES_128_CBC_SHA (x00, x2F)',
'TLS_RSA_WITH_AES_256_CBC_SHA (x00, x35)',
'TLS_RSA_WITH_AES_128_CBC_SHA256 (x00, 3C)',
'TLS_RSA_WITH_AES_256_CBC_SHA256 (x00, 3D)',
'TLS_RSA_WITH_AES_128_GCM_SHA256 (x00, x9C)',
'TLS_RSA_WITH_AES_256_GCM_SHA384 (x00, x9D)'}
</t>
    </r>
    <r>
      <rPr>
        <b/>
        <sz val="12"/>
        <color rgb="FF000000"/>
        <rFont val="Aptos Narrow"/>
        <scheme val="minor"/>
      </rPr>
      <t xml:space="preserve">For TlsV1.3:
</t>
    </r>
    <r>
      <rPr>
        <sz val="12"/>
        <color rgb="FF000000"/>
        <rFont val="Aptos Narrow"/>
        <scheme val="minor"/>
      </rPr>
      <t>{'TLS_AES_128_GCM_SHA256 (0x13, 0x01)',
'TLS_AES_256_GCM_SHA384 (0x13, 0x02)',
'TLS_AES_128_CCM_SHA256 (0x13, 0x04)',
'TLS_AES_128_CCM_8_SHA256 (0x13, 0x05)'}</t>
    </r>
  </si>
  <si>
    <r>
      <rPr>
        <b/>
        <sz val="12"/>
        <color rgb="FF000000"/>
        <rFont val="Aptos Narrow"/>
        <scheme val="minor"/>
      </rPr>
      <t xml:space="preserve">For TlsV1.2:
</t>
    </r>
    <r>
      <rPr>
        <sz val="12"/>
        <color rgb="FF000000"/>
        <rFont val="Aptos Narrow"/>
        <scheme val="minor"/>
      </rPr>
      <t xml:space="preserve">{'TLS_ECDHE_ECDSA_WITH_AES_128_CBC_SHA256 (0xC0,0x23)',
'TLS_ECDHE_ECDSA_WITH_AES_256_CBC_SHA384 (0xC0,0x24)',
'TLS_ECDHE_ECDSA_WITH_AES_128_GCM_SHA256 (0xC0,0x2B)',
'TLS_ECDHE_ECDSA_WITH_AES_256_GCM_SHA384 (0xC0,0x2C)',
'TLS_ECDHE_ECDSA_WITH_AES_128_CCM (0xC0,0xAC)',
'TLS_ECDHE_ECDSA_WITH_AES_256_CCM (0xC0,0xAD)',
'TLS_ECDHE_RSA_WITH_AES_128_CBC_SHA256 (0xC0,0x27)',
'TLS_ECDHE_RSA_WITH_AES_256_CBC_SHA384 (0xC0,0x28)',
'TLS_ECDHE_RSA_WITH_AES_128_GCM_SHA256 (0xC0,0x2F)',
'TLS_ECDHE_RSA_WITH_AES_256_GCM_SHA384 (0xC0,0x30)',
'TLS_DHE_DSS_WITH_AES_128_CBC_SHA256 (0x00,0x40)',
'TLS_DHE_DSS_WITH_AES_256_CBC_SHA384 (0x00,0x6A)',
'TLS_DHE_DSS_WITH_AES_128_GCM_SHA256 (0x00,0xA2)',
'TLS_DHE_DSS_WITH_AES_256_GCM_SHA384 (0x00,0xA3)',
'TLS_DHE_RSA_WITH_AES_128_CBC_SHA256 (0x00,0x67)',
'TLS_DHE_RSA_WITH_AES_256_CBC_SHA256 (0x00,0x6B)',
'TLS_DHE_RSA_WITH_AES_128_GCM_SHA256 (0x00,0x9E)',
'TLS_DHE_RSA_WITH_AES_256_GCM_SHA384 (0x00,0x9F)',
'TLS_DHE_RSA_WITH_AES_128_CCM (0xC0,0x9E)',
'TLS_DHE_RSA_WITH_AES_256_CCM (0xC0,0x9F)',
'TLS_ECDHE_PSK_WITH_AES_128_CBC_SHA256 (0xC0,0x37)',
'TLS_ECDHE_PSK_WITH_AES_256_CBC_SHA384 (0xC0,0x38)',
'TLS_ECDHE_PSK_WITH_AES_128_GCM_SHA256 (0xD0,0x01)',
'TLS_ECDHE_PSK_WITH_AES_256_GCM_SHA384 (0xD0,0x02)',
'TLS_ECDHE_PSK_WITH_AES_128_CCM_SHA256 (0xD0,0x05)',
'TLS_DHE_PSK_WITH_AES_128_CBC_SHA256 (0x00,0xB2)',
'TLS_DHE_PSK_WITH_AES_256_CBC_SHA384 (0x00,0xB3)',
'TLS_DHE_PSK_WITH_AES_128_GCM_SHA256 (0x00,0xAA)',
'TLS_DHE_PSK_WITH_AES_256_GCM_SHA384 (0x00,0xAB)',
'TLS_DHE_PSK_WITH_AES_128_CCM (0xC0,0xA6)',
'TLS_DHE_PSK_WITH_AES_256_CCM (0xC0,0xA7)'}
</t>
    </r>
    <r>
      <rPr>
        <b/>
        <sz val="12"/>
        <color rgb="FF000000"/>
        <rFont val="Aptos Narrow"/>
        <scheme val="minor"/>
      </rPr>
      <t xml:space="preserve">For TlsV1.3:
</t>
    </r>
    <r>
      <rPr>
        <sz val="12"/>
        <color rgb="FF000000"/>
        <rFont val="Aptos Narrow"/>
        <scheme val="minor"/>
      </rPr>
      <t>{'TLS_AES_128_GCM_SHA256 (0x13,0x01)',
'TLS_AES_256_GCM_SHA384 (0x13,0x02)',
'TLS_AES_128_CCM_SHA256 (0x13,0x04)'}</t>
    </r>
  </si>
  <si>
    <t>Probably, in code, from function SLLParameters.setCipherSuites(...) or SSLServerSocket.setEnabledCipherSuites(...)</t>
  </si>
  <si>
    <t>TlsDiffieHellmanGroups</t>
  </si>
  <si>
    <t>Checks that used DH Groups are secure and approved according to standards.</t>
  </si>
  <si>
    <t>Functionality.CipherSuite (but no property for that, should be added)</t>
  </si>
  <si>
    <t>Finite Field DH Groups:
{'ffdhe2048', 'ffdhe3072', 'ffdhe4096', 'ffdhe6144', 'ffdhe8192'}
ECDH Groups:
{'sect163k1', 'sect163r1', 'sect163r2', 'sect193r1', 'sect193r2', 'sect233k1', 'sect233r1', 'sect239k1', 'sect283k1', 'sect283r1', 'sect409k1', 'sect409r1', 'sect571k1', 'sect571r1', 'secp160k1', 'secp160r1', 'secp160r2', 'secp192k1', 'secp192r1', 'secp224k1', 'secp224r1', 'secp256k1', 'secp256r1', 'secp384r1', 'secp521r1', 'x25519', 'x448', 'brainpoolP384r1', 'brainpoolP512r1', 'brainpoolP384r1tls13', 'brainpoolP512r1tls13'}</t>
  </si>
  <si>
    <r>
      <rPr>
        <b/>
        <sz val="12"/>
        <color rgb="FF000000"/>
        <rFont val="Aptos Narrow"/>
        <scheme val="minor"/>
      </rPr>
      <t xml:space="preserve">For TlsV1.2:
</t>
    </r>
    <r>
      <rPr>
        <sz val="12"/>
        <color rgb="FF000000"/>
        <rFont val="Aptos Narrow"/>
        <scheme val="minor"/>
      </rPr>
      <t xml:space="preserve">{'secp256r1', 'secp384r1', 'secp521r1', 'brainpoolP256r1', 'brainpoolP384r1', 'brainpoolP512r1'}
</t>
    </r>
    <r>
      <rPr>
        <b/>
        <sz val="12"/>
        <color rgb="FF000000"/>
        <rFont val="Aptos Narrow"/>
        <scheme val="minor"/>
      </rPr>
      <t xml:space="preserve">For Tls1.3:
</t>
    </r>
    <r>
      <rPr>
        <sz val="12"/>
        <color rgb="FF000000"/>
        <rFont val="Aptos Narrow"/>
        <scheme val="minor"/>
      </rPr>
      <t>{'secp256r1', 'secp384r1', 'secp521r1', 'brainpoolP256r1tls13', 'brainpoolP384r1tls13', 'brainpoolP512r1tls13', 'ffdhe3072', 'ffdhe4096'}</t>
    </r>
  </si>
  <si>
    <t>Probably, in code or configuration, we could use java system property (jdk.tls.namedGroups -&gt; https://docs.oracle.com/javase/8/docs/technotes/guides/security/jsse/JSSERefGuide.html#customizing_dh_keys)</t>
  </si>
  <si>
    <t>TlsDHGroup</t>
  </si>
  <si>
    <t>TlsSignatureSchemes</t>
  </si>
  <si>
    <t>Checks that used signature algorithms are secure and recommended by standards.</t>
  </si>
  <si>
    <t>Functionality.CipherSuite (property: authenticationMechanism)</t>
  </si>
  <si>
    <r>
      <rPr>
        <b/>
        <sz val="12"/>
        <color rgb="FF000000"/>
        <rFont val="Aptos Narrow"/>
        <scheme val="minor"/>
      </rPr>
      <t>For TlsV1.2</t>
    </r>
    <r>
      <rPr>
        <sz val="12"/>
        <color rgb="FF000000"/>
        <rFont val="Aptos Narrow"/>
        <scheme val="minor"/>
      </rPr>
      <t xml:space="preserve">:
{'rsa', 'dsa', 'ecdsa'}
</t>
    </r>
    <r>
      <rPr>
        <b/>
        <sz val="12"/>
        <color rgb="FF000000"/>
        <rFont val="Aptos Narrow"/>
        <scheme val="minor"/>
      </rPr>
      <t xml:space="preserve">For TlsV1.3:
</t>
    </r>
    <r>
      <rPr>
        <sz val="12"/>
        <color rgb="FF000000"/>
        <rFont val="Aptos Narrow"/>
        <scheme val="minor"/>
      </rPr>
      <t>{'rsa_pkcs1_sha256', 'rsa_pkcs1_sha384', 'rsa_pkcs1_sha512', 'rsa_pss_rsae_sha256',  'rsa_pss_rsae_sha384',  'rsa_pss_rsae_sha512',
  'rsa_pss_pss_sha256',  'rsa_pss_pss_sha384',  'rsa_pss_pss_sha512',
  'ecdsa_secp256r1_sha256',  'ecdsa_secp384r1_sha384',
  'ecdsa_secp521r1_sha512',  'ecdsa_brainpoolP256r1tls13_sha256',
  'ecdsa_brainpoolP384r1tls13_sha384',  'ecdsa_brainpoolP512r1tls13_sha512'}</t>
    </r>
  </si>
  <si>
    <r>
      <rPr>
        <b/>
        <sz val="12"/>
        <color rgb="FF000000"/>
        <rFont val="Aptos Narrow"/>
        <scheme val="minor"/>
      </rPr>
      <t>For TlsV1.2</t>
    </r>
    <r>
      <rPr>
        <sz val="12"/>
        <color rgb="FF000000"/>
        <rFont val="Aptos Narrow"/>
        <scheme val="minor"/>
      </rPr>
      <t xml:space="preserve">:
{'dsa', 'ecdsa'}
</t>
    </r>
    <r>
      <rPr>
        <b/>
        <sz val="12"/>
        <color rgb="FF000000"/>
        <rFont val="Aptos Narrow"/>
        <scheme val="minor"/>
      </rPr>
      <t xml:space="preserve">For TlsV1.3:
</t>
    </r>
    <r>
      <rPr>
        <sz val="12"/>
        <color rgb="FF000000"/>
        <rFont val="Aptos Narrow"/>
        <scheme val="minor"/>
      </rPr>
      <t>{ 'rsa_pss_rsae_sha256',  'rsa_pss_rsae_sha384',  'rsa_pss_rsae_sha512',
  'rsa_pss_pss_sha256',  'rsa_pss_pss_sha384',  'rsa_pss_pss_sha512',
  'ecdsa_secp256r1_sha256',  'ecdsa_secp384r1_sha384',
  'ecdsa_secp521r1_sha512',  'ecdsa_brainpoolP256r1tls13_sha256',
  'ecdsa_brainpoolP384r1tls13_sha384',  'ecdsa_brainpoolP512r1tls13_sha512'}</t>
    </r>
  </si>
  <si>
    <t>Probably, in code or configuration, we could use java system property (jdk.tls.server.SignatureSchemes or jdk.tls.client.SignatureSchemes -&gt; https://docs.oracle.com/javase/8/docs/technotes/guides/security/jsse/JSSERefGuide.html#customizing_dh_keys)</t>
  </si>
  <si>
    <t>TlsCertificateSignatureKeyLength</t>
  </si>
  <si>
    <t>Checks the length of the of keys in certificates.</t>
  </si>
  <si>
    <t>Integer</t>
  </si>
  <si>
    <t>For RSA and DSS: 3000;
For ECDSA: 250</t>
  </si>
  <si>
    <t>Probably, in code or configuration, we could check whether they create an instance of the AlgorithmConstrain, ts or X509ExtendedTrustManager, where the key size is checked on being &gt;= 3000,
jdk.certpath.disabledAlgorithms and jdk.tls.disabledAlgorithms could help here as well.</t>
  </si>
  <si>
    <t>TlsDiffieHellmanKeyLength</t>
  </si>
  <si>
    <t>Checks the length of the Diffie-Hellman public key.</t>
  </si>
  <si>
    <t>For DH: 3000
For ECDH: 250</t>
  </si>
  <si>
    <t>Probably, in code or configuration, we could use java system property (jdk.tls.ephemeralDHKeySize -&gt; https://docs.oracle.com/javase/8/docs/technotes/guides/security/jsse/JSSERefGuide.html#customizing_dh_keys) or  we could check whether they create an instance of the AlgorithmConstraints or X509ExtendedTrustManager, where the key size is checked on being &gt;= 3000, the system properties can be defined in various places (shell/bash scripts, code, docker-compose.yml conf, kubernetes conf), check them all
jdk.certpath.disabledAlgorithms and jdk.tls.disabledAlgorithms could help here as well.</t>
  </si>
  <si>
    <t>BlockCipher</t>
  </si>
  <si>
    <t>Checks if used block cipher algorithms are secure.</t>
  </si>
  <si>
    <t>Functionality.CipherSuite (property: sessionCipher)</t>
  </si>
  <si>
    <t>{'AES', '3DES', 'DES', 'Skipjack'}</t>
  </si>
  <si>
    <t>'AES'</t>
  </si>
  <si>
    <t>BSI C5 CRY-03</t>
  </si>
  <si>
    <t>Probably, in code (when setting the cipher suites, as cipher suite name specifies it)</t>
  </si>
  <si>
    <t>BlockCipherMode</t>
  </si>
  <si>
    <t>Checks if used mode for block cipher is secure.</t>
  </si>
  <si>
    <t>{'ECB', 'CBC', 'CFB', 'OFB', 'CTR', 'CBC-CS1', 'CBC-CS2', 'CBC-CS3', 'CMAC', 'CCM', 'GCM', 'GMAC', 'XTS-AES', 'KW', 'KWP', 'TKW', 'FF1', 'FF3'}</t>
  </si>
  <si>
    <r>
      <rPr>
        <sz val="12"/>
        <color rgb="FF000000"/>
        <rFont val="Aptos Narrow"/>
        <scheme val="minor"/>
      </rPr>
      <t>{'CCM', 'GCM', '</t>
    </r>
    <r>
      <rPr>
        <sz val="12"/>
        <color rgb="FFFF0000"/>
        <rFont val="Aptos Narrow"/>
        <scheme val="minor"/>
      </rPr>
      <t>AES-GCM-SIV</t>
    </r>
    <r>
      <rPr>
        <sz val="12"/>
        <color rgb="FF000000"/>
        <rFont val="Aptos Narrow"/>
        <scheme val="minor"/>
      </rPr>
      <t xml:space="preserve">', 'CBC', </t>
    </r>
    <r>
      <rPr>
        <sz val="12"/>
        <color rgb="FFFF0000"/>
        <rFont val="Aptos Narrow"/>
        <scheme val="minor"/>
      </rPr>
      <t>'CTR</t>
    </r>
    <r>
      <rPr>
        <sz val="12"/>
        <color rgb="FF000000"/>
        <rFont val="Aptos Narrow"/>
        <scheme val="minor"/>
      </rPr>
      <t>'}</t>
    </r>
  </si>
  <si>
    <t>StrongCryptographicHashes</t>
  </si>
  <si>
    <t>Checks whether the configured cryptographic hash algorithm is strong and secure.</t>
  </si>
  <si>
    <t>Functionality.CipherSuite (property: macAlgorithm)</t>
  </si>
  <si>
    <t>{'MD5', 'SHA-1', 'SHA-224', 'SHA-256', 'SHA-384', 'SHA-512', 'SHA-512/256', 'SHA3-256', 'SHA3-384', 'SHA3-512', 'BLAKE2', 'BLAKE3'}</t>
  </si>
  <si>
    <t>{'SHA-256',  'SHA-384', 'SHA-512', 'SHA-512/256',  'SHA3-256', 'SHA3-384', 'SHA3-512'}</t>
  </si>
  <si>
    <t>BSI C5 CRY-03
BSI C5 CRY-02</t>
  </si>
  <si>
    <t>@PIZHUK: maybe it makes sense to create the different metrics for different cases: like hash algs for signature algorithms, hash algs for passwords and so on, or also maybe we could create a common metric for all cases like OnlySecureHashesUsed(with true/false) and separate metric for every case</t>
  </si>
  <si>
    <t>StrongCryptographicHash</t>
  </si>
  <si>
    <t>SecureMac</t>
  </si>
  <si>
    <t>Checks whether the configured cryptographic MAC algorithm is strong and secure.</t>
  </si>
  <si>
    <t>String or Boolean?</t>
  </si>
  <si>
    <t>[]</t>
  </si>
  <si>
    <t>SecureSignatureScheme</t>
  </si>
  <si>
    <t>SecureRandomNumberGenerator</t>
  </si>
  <si>
    <t>could be checked using SCA</t>
  </si>
  <si>
    <t>SecureKeyStorage</t>
  </si>
  <si>
    <t>Networking.NetworkService.KeyVault</t>
  </si>
  <si>
    <t>*</t>
  </si>
  <si>
    <t>BSI C5 CRY-04</t>
  </si>
  <si>
    <t>AESStandard</t>
  </si>
  <si>
    <t>Checks that the AES-256 encryption standard is explicitly configured wherever AES is used.</t>
  </si>
  <si>
    <t>{'AES128', 'AES192', 'AES256'}</t>
  </si>
  <si>
    <t>AES256</t>
  </si>
  <si>
    <t>CKM-01.1H</t>
  </si>
  <si>
    <t>AESKeyLength</t>
  </si>
  <si>
    <t>Checks that when AES encryption is configured in code or infrastracture, the key length is secure.</t>
  </si>
  <si>
    <t>Number</t>
  </si>
  <si>
    <t>{128, 192, 256}</t>
  </si>
  <si>
    <t>ExtendedMasterSecretEnabled</t>
  </si>
  <si>
    <t>Checks that the extension "extended_master_secret" is not disabled.</t>
  </si>
  <si>
    <t>No concept or property yet, I would add it as an extension to TransportEncryption</t>
  </si>
  <si>
    <t>{true, false}</t>
  </si>
  <si>
    <t>Probably, by checking whether jdk.tls.useExtendedMasterSecret(if exist) or by checking whether it is not added to jdk.tls.client.disableExtensions and jdk.tls.server.disableExtensions system properties.</t>
  </si>
  <si>
    <t>TruncatedHMACEnabled</t>
  </si>
  <si>
    <t>Checks that the extension “truncated_hmac” to truncate the HMAC output to 80 bits is disabled.</t>
  </si>
  <si>
    <t>false</t>
  </si>
  <si>
    <t>Probably, by checking whether it was added to jdk.tls.client.disableExtensions and jdk.tls.server.disableExtensions system properties.</t>
  </si>
  <si>
    <t>SessionRegonitiationEnabled</t>
  </si>
  <si>
    <t>Checks that the extension "renegotiation_info" is not disabled.</t>
  </si>
  <si>
    <r>
      <rPr>
        <sz val="12"/>
        <color rgb="FF000000"/>
        <rFont val="Aptos Narrow"/>
        <scheme val="minor"/>
      </rPr>
      <t xml:space="preserve">Probably, by checking whether it is </t>
    </r>
    <r>
      <rPr>
        <b/>
        <sz val="12"/>
        <color rgb="FF000000"/>
        <rFont val="Aptos Narrow"/>
        <scheme val="minor"/>
      </rPr>
      <t>not</t>
    </r>
    <r>
      <rPr>
        <sz val="12"/>
        <color rgb="FF000000"/>
        <rFont val="Aptos Narrow"/>
        <scheme val="minor"/>
      </rPr>
      <t xml:space="preserve"> added to jdk.tls.client.disableExtensions and jdk.tls.server.disableExtensions system properties or by checking that sun.security.ssl.allowLegacyHelloMessages is true.</t>
    </r>
  </si>
  <si>
    <t>EncryptThenMacEnabled</t>
  </si>
  <si>
    <t>Checks that the extension "encrypt_then_mac"is not disabled.</t>
  </si>
  <si>
    <r>
      <rPr>
        <sz val="12"/>
        <color rgb="FF000000"/>
        <rFont val="Aptos Narrow"/>
        <scheme val="minor"/>
      </rPr>
      <t xml:space="preserve">Probably, by checking whether it is </t>
    </r>
    <r>
      <rPr>
        <b/>
        <sz val="12"/>
        <color rgb="FF000000"/>
        <rFont val="Aptos Narrow"/>
        <scheme val="minor"/>
      </rPr>
      <t>not</t>
    </r>
    <r>
      <rPr>
        <sz val="12"/>
        <color rgb="FF000000"/>
        <rFont val="Aptos Narrow"/>
        <scheme val="minor"/>
      </rPr>
      <t xml:space="preserve"> added to jdk.tls.client.disableExtensions and jdk.tls.server.disableExtensions system properties.</t>
    </r>
  </si>
  <si>
    <t>HeartbeatEnabled</t>
  </si>
  <si>
    <t>Checks that the extension "heartbeat" is disabled.</t>
  </si>
  <si>
    <t>SshVersion</t>
  </si>
  <si>
    <t>Checks that the used SSH protocol is secure</t>
  </si>
  <si>
    <t>{'SSH-1', 'SSH-2'}</t>
  </si>
  <si>
    <t>'SSH-2'</t>
  </si>
  <si>
    <t>BSI C5 CRY-01</t>
  </si>
  <si>
    <t>We could check the libraries used(most of them support only ssh-2)</t>
  </si>
  <si>
    <t>SshKeyExchange</t>
  </si>
  <si>
    <t>Checks that used in SSH key exchange method is recommended.</t>
  </si>
  <si>
    <t>{'curve25519-sha256',
'curve25519-sha256@libssh.org',
'curve448-sha512',
'diffie-hellman-group-exchange-sha1',
'diffie-hellman-group-exchange-sha256',
'diffie-hellman-group14-sha1',
'diffie-hellman-group14-sha256',
'diffie-hellman-group15-sha512',
'diffie-hellman-group16-sha512',
'diffie-hellman-group17-sha512',
'diffie-hellman-group18-sha512',
'diffie-hellman-group1-sha1',
'ecdh-sha2-nistp256',
'ecdh-sha2-nistp384',
'ecdh-sha2-nistp521',
'ecmqv-sha2',
'gss-nistp256-sha256-*',
'gss-nistp384-sha384-*',
'gss-nistp521-sha512-*',
'gss-curve25519-sha256-*',
'gss-curve448-sha512-*',
'gss-gex-sha1-*',
'gss-group1-sha1-*',
'gss-group14-sha1-*',
'gss-group14-sha256-*',
'gss-group15-sha512-*',
'gss-group16-sha512-*',
'gss-group17-sha512-*',
'gss-group18-sha512-*',
'gss-nistp256-sha256-*',
'gss-nistp384-sha384-*',
'gss-nistp521-sha512-*',
'ext-info-c',
'ext-info-s',
'rsa1024-sha1',
'rsa2048-sha256'}</t>
  </si>
  <si>
    <t>{'diffie-hellman-group-exchange-sha256',
 'diffie-hellman-group15-sha512',
 'diffie-hellman-group16-sha512',
'ecdh-sha2-nistp256',
'ecdh-sha2-nistp384',
'ecdh-sha2-nistp521'}</t>
  </si>
  <si>
    <t xml:space="preserve">
Some libraries like Apache MINA SSHD or SSHJ allow to set up KEX algorithms, so we could extract it from there</t>
  </si>
  <si>
    <t>SshDHGEXKeyLength</t>
  </si>
  <si>
    <t>Checks that the prime number of  length more than 3072 bits is used by Diffie Hellman Group Exchange key exchange method.</t>
  </si>
  <si>
    <t>0:inf</t>
  </si>
  <si>
    <t>By setting the property, it is possible to set min length in some libraries like Apache Mina.</t>
  </si>
  <si>
    <t>SshKeyReexchangeTime</t>
  </si>
  <si>
    <t>Checks that the session keys are renewed after recommended time.</t>
  </si>
  <si>
    <t>Hours</t>
  </si>
  <si>
    <t>By setting CoreModuleProperties(REKEY_TIME_LIMIT) in Apache Mina, and other libraries</t>
  </si>
  <si>
    <t>SshKeyReexchangeBytes</t>
  </si>
  <si>
    <t>Checks that the session keys are renewed after recommended transmitted data.</t>
  </si>
  <si>
    <t>Gigabytes</t>
  </si>
  <si>
    <t>By setting CoreModuleProperties(REKEY_BYTES_LIMIT) in Apache Mina, and other libraries</t>
  </si>
  <si>
    <t>SshCipher</t>
  </si>
  <si>
    <t>Checks that used encryption algorithms (ciphers) are recommended.</t>
  </si>
  <si>
    <t>{'aes128-ctr',
    'aes192-ctr',
    'aes256-ctr',
    '3des-ctr',
    'blowfish-ctr',
    'twofish128-ctr',
    'twofish192-ctr',
    'twofish256-ctr',
    'serpent128-ctr',
    'serpent192-ctr',
    'serpent256-ctr',
    'idea-ctr',
    'cast128-ctr',
    'AEAD_AES_128_GCM ',
    'AEAD_AES_256_GCM '
}</t>
  </si>
  <si>
    <t>{'aes128-ctr',
'aes192-ctr',
'aes256-ctr',
'AEAD_AES_128_GCM',
 'AEAD_AES_256_GCM'}</t>
  </si>
  <si>
    <t>E.g. in Apache Mina, we could check it in setCipherFactories method</t>
  </si>
  <si>
    <t>SshMacAlgorithm</t>
  </si>
  <si>
    <t>Checks that used mac protection is secure and recommended.</t>
  </si>
  <si>
    <t>{'hmac-md5',
'hmac-sha1',
'umac-64@openssh.com',
'hmac-sha2-256',
'hmac-sha2-256-96',
'hmac-sha2-512',
'hmac-sha2-512-96',
'hmac-ripemd160',
'hmac-ripemd160@openssh.com',
'hmac-sha1-96',
'hmac-md5-96'}</t>
  </si>
  <si>
    <t>{'hmac-sha2-256',
'hmac-sha2-512'}</t>
  </si>
  <si>
    <t>E.g. in Apache Mina, we could check it in setMacFactories method</t>
  </si>
  <si>
    <t>SshServerAuthSignatureAlgorithm</t>
  </si>
  <si>
    <t>Checks that used signature algorithm for server authentication is secure and recommended.</t>
  </si>
  <si>
    <t>{"ssh-dss",
  "ssh-rsa",
  "pgp-sign-rsa",
  "pgp-sign-dss",
  "rsa-sha2-256",
  "rsa-sha2-512",
  "ssh-rsa-cert-v01@openssh.com",
  "rsa-sha2-256-cert-v01@openssh.com",
  "rsa-sha2-512-cert-v01@openssh.com",
  "ecdsa-sha2-nistp256",
  "ecdsa-sha2-nistp384",
  "ecdsa-sha2-nistp521",
  "ecdsa-sha2-nistp256-cert-v01@openssh.com",
  "ecdsa-sha2-nistp384-cert-v01@openssh.com",
  "ecdsa-sha2-nistp521-cert-v01@openssh.com",
  "x509v3-ecdsa-sha2-nistp256",
  "x509v3-ecdsa-sha2-nistp384",
  "x509v3-ecdsa-sha2-nistp521",
  "ssh-ed25519",
  "ssh-ed25519-cert-v01@openssh.com",
  "sk-ecdsa-sha2-nistp256@openssh.com",
  "sk-ecdsa-sha2-nistp256-cert-v01@openssh.com",
  "sk-ssh-ed25519@openssh.com",
  "sk-ssh-ed25519-cert-v01@openssh.com"}</t>
  </si>
  <si>
    <t>{"pgp-sign-dss",
  "ecdsa-sha2-nistp256",
  "ecdsa-sha2-nistp384",
  "ecdsa-sha2-nistp521",
  "x509v3-ecdsa-sha2-nistp256",
  "x509v3-ecdsa-sha2-nistp384",
  "x509v3-ecdsa-sha2-nistp521"}</t>
  </si>
  <si>
    <t>E.g. in Apache Mina, we could check it in setSignatureFactories method for Ssh server</t>
  </si>
  <si>
    <t>SshPubkeyAuthSignatureMethod</t>
  </si>
  <si>
    <t>Checks that for client authentication, "public key authentication" is used together with one of the secure and recommended  methods.</t>
  </si>
  <si>
    <t>E.g. in Apache Mina, we could check it in setSignatureFactories method for Ssh client</t>
  </si>
  <si>
    <t>Network Security</t>
  </si>
  <si>
    <t>L3FirewallEnabled</t>
  </si>
  <si>
    <t>BSI C5 COS-02
BSI C5 COS-04
EUCS OPS-21.3H</t>
  </si>
  <si>
    <t>L3FirewallRestrictedPorts</t>
  </si>
  <si>
    <t>List&lt;Integer&gt;</t>
  </si>
  <si>
    <t>CIS - Networking</t>
  </si>
  <si>
    <t>WebApplicationFirewallEnabled</t>
  </si>
  <si>
    <t>EUCS OPS-21.3H</t>
  </si>
  <si>
    <t>SecurityGatewayAvailable</t>
  </si>
  <si>
    <t xml:space="preserve">Checks if a security gateway is available for a network interface. </t>
  </si>
  <si>
    <t>BSI C5 COS-04
BSI C5 OPS-24</t>
  </si>
  <si>
    <t>Platform Security</t>
  </si>
  <si>
    <t>RuntimeVersion</t>
  </si>
  <si>
    <t>JavaRuntime
PythonRuntime
PHPRuntime</t>
  </si>
  <si>
    <t>Storage Encryption</t>
  </si>
  <si>
    <t>AtRestEncryptionAlgorithm</t>
  </si>
  <si>
    <t>SecurityFeature.Confidentiality.AtRestEncryption (property: algorithm)</t>
  </si>
  <si>
    <t>[AES,RSA]</t>
  </si>
  <si>
    <t>maybe we can do this as well</t>
  </si>
  <si>
    <t>AtRestEncryptionEnabled</t>
  </si>
  <si>
    <t>SecurityFeature.Confidentiality.AtRestEncryption (property: enabled)</t>
  </si>
  <si>
    <t>CustomerKeyEncryption</t>
  </si>
  <si>
    <t>VirtualMachineDiskEncryptionEnabled</t>
  </si>
  <si>
    <t>TransportEncryption</t>
  </si>
  <si>
    <t>TransportEncryptionEnabled</t>
  </si>
  <si>
    <t>Checks if the transport encryption protocol is enabled.</t>
  </si>
  <si>
    <t>SecurityFeature.Confidentiality.TransportEncryption (property: enabled)</t>
  </si>
  <si>
    <t>EUCS OPS-21.3H
BSI C5 CRY-02</t>
  </si>
  <si>
    <t xml:space="preserve">Yes, in code, from function SLLParameters.setProtocols(...) or SSLServerSocket.setEnabledProtocols(...), Apache HttpClient(if used), Bouncy Castle(if used). </t>
  </si>
  <si>
    <t>TransportEncryptionEnforced</t>
  </si>
  <si>
    <t>Checks if the transport encryption protocol is enforced.</t>
  </si>
  <si>
    <t>SecurityFeature.Confidentiality.TransportEncryption (property: enforced)</t>
  </si>
  <si>
    <t>Yes, in code, from function SLLParameters.setProtocols(...) or SSLServerSocket.setEnabledProtocols(...), Apache HttpClient(if used), Bouncy Castle(if used).  If only one enabled, then it is enforced.</t>
  </si>
  <si>
    <t xml:space="preserve"> @PIZHUK: suppose no target value? 
- I guess so, because it can be both, and both values do not violate any standard</t>
  </si>
  <si>
    <t>TransportEncryptionProtocol</t>
  </si>
  <si>
    <t>Checks if the transport encryption protocol is secure and recommended to use.</t>
  </si>
  <si>
    <t>SecurityFeature.Confidentiality.TransportEncryption (property: protocol)</t>
  </si>
  <si>
    <t>[TLS,HTTPS, SSH, VPN]</t>
  </si>
  <si>
    <t>TLS</t>
  </si>
  <si>
    <t>Yes, in code, from function SLLParameters.setProtocols(...) or SSLServerSocket.setEnabledProtocols(...), Apache HttpClient(if used), Bouncy Castle(if used)</t>
  </si>
  <si>
    <t>Checks if the transport encryption protocol version is secure and recommended to use.</t>
  </si>
  <si>
    <t>SecurityFeature.Confidentiality.TransportEncryption (property: protocolVersion)</t>
  </si>
  <si>
    <t>[TLS1.0, TLS1.1, TLS1.2, TLS1.3]</t>
  </si>
  <si>
    <t>[1.2, 1.3]</t>
  </si>
  <si>
    <t>Storage Backup</t>
  </si>
  <si>
    <t>BackupEnabled</t>
  </si>
  <si>
    <t>Checks whether the DB backup is enabled.</t>
  </si>
  <si>
    <t>SecurityFeature.Availability.Backup (property: enabled)</t>
  </si>
  <si>
    <t>EUCS OPS-07.2H
BSI C5 OPS-07</t>
  </si>
  <si>
    <t>Probably, by checking for execution of mysqldump (or other commands depending on the db used)
 in code (Spring Boot), backup in docker compose, or in IaC like Kubernetes, Terraform, etc., also 
shell/bash scripts.</t>
  </si>
  <si>
    <t>BackupRetentionSet</t>
  </si>
  <si>
    <t>Checks how long backup data is kept before it is automatically deleted.</t>
  </si>
  <si>
    <t>SecurityFeature.Availability.Backup (property: retentionPeriod)</t>
  </si>
  <si>
    <t>based on data criticality</t>
  </si>
  <si>
    <t>Probably, by checking for execution of mysqldump (or other commands depending on the db used) 
in code (Spring Boot), backup in docker compose, or in IaC like Kubernetes, Terraform, etc., also 
shell/bash scripts.</t>
  </si>
  <si>
    <t>BackupFrequency</t>
  </si>
  <si>
    <t xml:space="preserve">Checks, the frequency of data backups. </t>
  </si>
  <si>
    <t>SecurityFeature.Availability.Backup (property: interval)</t>
  </si>
  <si>
    <t>BSI C5 OPS-07</t>
  </si>
  <si>
    <t xml:space="preserve">Data Protection </t>
  </si>
  <si>
    <t>ATPEnabled</t>
  </si>
  <si>
    <t xml:space="preserve">Check if Advanced Threat Protection is enabled for SQL DBs.   </t>
  </si>
  <si>
    <t>Resource.Infrastructure.Storage.DatabaseStorage (not sure though how to connect with ATP, no such security feature)</t>
  </si>
  <si>
    <t>Probably, if they use Terraform, Bicep, Azure CLI or ARM</t>
  </si>
  <si>
    <t>No mentioning in EUCS, where is it from?</t>
  </si>
  <si>
    <t>CellType</t>
  </si>
  <si>
    <t>MetricName</t>
  </si>
  <si>
    <t>This cell's design highlights metrics recently added to the table.</t>
  </si>
  <si>
    <t>This cell's design indicates that the metric is planned to be implemented by eknows-e3.</t>
  </si>
  <si>
    <t>EUCS</t>
  </si>
  <si>
    <t>Kommentar</t>
  </si>
  <si>
    <t>·       IAM-03.1B</t>
  </si>
  <si>
    <t xml:space="preserve"> The CSP shall document and implement a mechanism to disable identities after a certain period of inactivity, as defined in the policy required in IAM-02.1B, with exceptions for identities to be used in emergency recovery and similar scenarios, where extended periods of inactivity may be allowed.  </t>
  </si>
  <si>
    <t>Wird vielleicht als Watchdog/cron Job implementiert, der kontinuierlich Accounts auf die letzte Activität prüft, und Accounts deaktiviert. Code könnte auf lange Inaktivität prüfen und müsste dann Zugriff verweigern.
Prüfung einfacher, z.B. gibt es Accounts die lange nicht genutzt wurden und (noch nicht) deaktiviert wurden.
Keycloak -&gt; nicht implementiert; Issue auf GH; use API und prüf extern
Keystone -&gt; Config Option; Prüfung in den Diensten bei Verwendung; Datenbank reines konfiguriertes Enabled/Disabled</t>
  </si>
  <si>
    <t>·       IAM-07.3B</t>
  </si>
  <si>
    <t xml:space="preserve"> All authentication mechanisms shall include a mechanism to disable an identity after a predefined number of unsuccessful attempts.</t>
  </si>
  <si>
    <t>Code, welcher Login Attempts tracked, nach einem Limit weitere Attempts blocked oder ein Delay verlangt.</t>
  </si>
  <si>
    <t>·       IAM-03.7H</t>
  </si>
  <si>
    <t xml:space="preserve"> The CSP shall monitor the context of authentication attempts and flag suspicious events to authorised persons, as relevant.</t>
  </si>
  <si>
    <t>Mglw. in Richtung SIEM zu verstehen</t>
  </si>
  <si>
    <t>·       CCM-05.4H</t>
  </si>
  <si>
    <t xml:space="preserve"> The changes to the cloud service in the production environment shall be monitored to enforce these roles and rights.  </t>
  </si>
  <si>
    <t>Provenance -&gt; Liefern Evidences für geprüfte Versionen und nur diese sollten deployed werden
Mgl. Idee 'HasProvenance' -&gt; vielleicht feingranularer</t>
  </si>
  <si>
    <t>·       CO-03.5H</t>
  </si>
  <si>
    <t xml:space="preserve"> The CSP shall implement monitoring to identify vulnerabilities. </t>
  </si>
  <si>
    <t>External DependencyTrack, DefectDojo, oder ähnlich.
Wird ermöglicht, z.B. durch Bereitstellung einer SBOM</t>
  </si>
  <si>
    <t>·       AM-01.5H</t>
  </si>
  <si>
    <t xml:space="preserve"> The CSP shall monitor the process that is maintaining the inventory of assets to guarantee it is up-to-date in accordance with contractual agreements. </t>
  </si>
  <si>
    <t>Eher nicht</t>
  </si>
  <si>
    <t>BSI C5</t>
  </si>
  <si>
    <t>·       IDM-03</t>
  </si>
  <si>
    <t xml:space="preserve"> User accounts of internal and external employees of the Cloud Service Provider as well as for system components involved in automated authorisation processes of the Cloud Service Provider are automatically locked if they have not been used for a period of two months.  </t>
  </si>
  <si>
    <t>Identity and Access Management (IDM)</t>
  </si>
  <si>
    <t>IDM-08</t>
  </si>
  <si>
    <t>Confidentiality of authentication information</t>
  </si>
  <si>
    <t>* Password policy -&gt; complexity, need to change on first login, intial password looses validity after 14 days
* Strong cryptographical hash functions
* User is informed about changing/resetting password</t>
  </si>
  <si>
    <t>Codyze -&gt; Crypto; Check with MEDINA metrics; RH hat was gemacht :)</t>
  </si>
  <si>
    <t>Cryptography and Key Management (CRY)</t>
  </si>
  <si>
    <t>CRY-02</t>
  </si>
  <si>
    <t>Encryption of data for transmission (transport encryption)</t>
  </si>
  <si>
    <t>The Cloud Service Provider has established procedures and technical measures for strong encryption and authentication for the transmission of data of cloud customers over public networks.</t>
  </si>
  <si>
    <t>Codyze -&gt; Crypto; Check with MEDINA metrics</t>
  </si>
  <si>
    <t>CRY-03</t>
  </si>
  <si>
    <t>Encryption of sensitive data for storage</t>
  </si>
  <si>
    <t>The Cloud Service Provider has established procedures and technical safeguards to encrypt cloud customers' data during storage. The private keys used for encryption are known only to the cloud customer in accordance with applicable legal and regulatory obligations and requirements. Exceptions follow a specified procedure. The procedures for the use of private keys, including any exceptions, must be contractually agreed with the cloud customer.</t>
  </si>
  <si>
    <t>CRY-04</t>
  </si>
  <si>
    <t>Secure key management</t>
  </si>
  <si>
    <t>Procedures and technical safeguards for secure key management in the area of responsibility of the Cloud Service Provider include at least the following aspects:
• Generation of keys for different cryptographic systems and applications;
• Issuing and obtaining public-key certificates;
• Provisioning and activation of the keys;
• Secure storage of keys (separation of key management system from application and middleware level) including description of how authorised users get access;
• Changing or updating cryptographic keys including policies defining under which conditions and in which manner the changes and/or updates are to be realised;
• Handling of compromised keys;
• Withdrawal and deletion of keys; and
• If pre-shared keys are used, the specific provisions relating to the safe use of this procedure are specified separately.</t>
  </si>
  <si>
    <t>Product Safety and Security (PSS)</t>
  </si>
  <si>
    <t>PSS-06</t>
  </si>
  <si>
    <t>To protect confidentiality, availability, integrity and authenticity during interactions with the cloud service, a suitable session management system is used that at least corresponds to the state-of-the-art and is protected against known attacks. Mechanisms are implemented that invalidate a session after it has been detected as inactive. The inactivity can be detected by time measurement. In this case, the time interval can be configured by the Cloud Service Provider or - if technically possible - by the cloud customer.</t>
  </si>
  <si>
    <t>https://cheatsheetseries.owasp.org/cheatsheets/Session_Management_Cheat_Sheet.html
State-of-the-art protection:
* JWT -&gt; welche Algos, validation before use, etc.</t>
  </si>
  <si>
    <t>Organisation of Information Security (OIS)</t>
  </si>
  <si>
    <t>OIS-01 </t>
  </si>
  <si>
    <t>Information Security Management System (ISMS)</t>
  </si>
  <si>
    <t>OIS-03</t>
  </si>
  <si>
    <t>Interfaces and Dependencies</t>
  </si>
  <si>
    <t>Operations (OPS)</t>
  </si>
  <si>
    <t>OPS-05</t>
  </si>
  <si>
    <t>Protection Against Malware - Implementation</t>
  </si>
  <si>
    <t>OPS-07</t>
  </si>
  <si>
    <t>Data Backup and Recovery - Monitoring</t>
  </si>
  <si>
    <t>OPS-13</t>
  </si>
  <si>
    <t>Logging and Monitoring - Identification of Events</t>
  </si>
  <si>
    <t>OPS-14</t>
  </si>
  <si>
    <t>Logging and Monitoring - Storage of the Logging Data</t>
  </si>
  <si>
    <t>OPS-16</t>
  </si>
  <si>
    <t>Logging and Monitoring - Configuration</t>
  </si>
  <si>
    <t>OPS-17</t>
  </si>
  <si>
    <t>Logging and Monitoring - Availability of the Monitoring Software</t>
  </si>
  <si>
    <t>OPS-22</t>
  </si>
  <si>
    <t>Testing and Documentation of known Vulnerabilities</t>
  </si>
  <si>
    <t>OPS-23</t>
  </si>
  <si>
    <t>Managing Vulnerabilities, Malfunctions and Errors - System Hardening</t>
  </si>
  <si>
    <t>OPS-24</t>
  </si>
  <si>
    <t>Separation of Datasets in the Cloud Infrastructure</t>
  </si>
  <si>
    <t>IDM-02</t>
  </si>
  <si>
    <t>Granting and change of user accounts and access rights</t>
  </si>
  <si>
    <t>IDM-03</t>
  </si>
  <si>
    <t>Locking and withdrawal of user accounts in the event of inactivity or multiple failed logins</t>
  </si>
  <si>
    <t>IDM-05</t>
  </si>
  <si>
    <t>Regular review of access rights</t>
  </si>
  <si>
    <t>IDM-09</t>
  </si>
  <si>
    <t>Authentication mechanisms</t>
  </si>
  <si>
    <t>CRY-01</t>
  </si>
  <si>
    <t>Policy for the use of encryption procedures and key management</t>
  </si>
  <si>
    <t>Communication Security (COS)</t>
  </si>
  <si>
    <t>COS-01</t>
  </si>
  <si>
    <t>Technical safeguards</t>
  </si>
  <si>
    <t>COS-02</t>
  </si>
  <si>
    <t>Security requirements for connections in the Cloud Service Provider's network</t>
  </si>
  <si>
    <t>COS-04</t>
  </si>
  <si>
    <t>Cross-network access</t>
  </si>
  <si>
    <t>Procurement, Development and Modification of Information Systems (DEV)</t>
  </si>
  <si>
    <t>DEV-07</t>
  </si>
  <si>
    <t>Logging of changes</t>
  </si>
  <si>
    <t>PSS-05</t>
  </si>
  <si>
    <t>Authentication Mechanisms</t>
  </si>
  <si>
    <t>PSS-07</t>
  </si>
  <si>
    <t>Confidentiality of Authentication Information</t>
  </si>
  <si>
    <t>PSS-12</t>
  </si>
  <si>
    <t>Locations of Data Processing and Storage</t>
  </si>
  <si>
    <t>PSS-10</t>
  </si>
  <si>
    <t>Software Defined Networking</t>
  </si>
  <si>
    <t>PSS-09</t>
  </si>
  <si>
    <t>Authorisation Mechanisms</t>
  </si>
  <si>
    <t>PSS-08</t>
  </si>
  <si>
    <t>Roles and Rights Concept</t>
  </si>
  <si>
    <t>PSS-04</t>
  </si>
  <si>
    <t>Error handling and Logging Mechanisms</t>
  </si>
  <si>
    <t>List of Pilot requirements for which evidence can be discovered by Clouditor</t>
  </si>
  <si>
    <t>Pilot</t>
  </si>
  <si>
    <t>Scheme</t>
  </si>
  <si>
    <t>Control</t>
  </si>
  <si>
    <t>Schema description</t>
  </si>
  <si>
    <t>Clouditor discovery possible</t>
  </si>
  <si>
    <t>CloudFerro</t>
  </si>
  <si>
    <t>BSI-C5</t>
  </si>
  <si>
    <t>Based on the results of a risk analysis carried out according to OIS-06, the Cloud Service Provider has implemented technical safeguards which are suitable to promptly detect and respond to network-based attacks on the basis of irregular incoming or outgoing traffic patterns and/or Distributed Denial- of-Service (DDoS) attacks. Data from corresponding technical protection measures implemented is fed into a comprehensive SIEM (Security Information and Event Management) system, so that (counter) measures regarding correlating events can be initiated. The safeguards are documented, communicated and provided in accordance with SP-01.</t>
  </si>
  <si>
    <t>no</t>
  </si>
  <si>
    <t>Specific security requirements are designed, published and provided for establishing connections within the Cloud Service Provider's network. The security requirements define for the Cloud Service Provider's area of responsibility: 
• in which cases the security zones are to be separated and in which cases cloud customers are to be logically or physically segregated;
• which communication relationships and which network and application protocols are permitted in each case;
• how the data traffic for administration and monitoring is segregated from each on network level;
• which internal, cross-location communication is permitted and;
• which cross-network communication is allowed</t>
  </si>
  <si>
    <t>Each network perimeter is controlled by security gateways. The system access authorisation for cross-network access is based on a security assessment based on the requirements of the cloud customers.</t>
  </si>
  <si>
    <t>Policies and instructions with technical and organisational safeguards for encryption procedures and key management are documented, communicated and provided according to SP-01, in which the following aspects are described:
• Usage of strong encryption procedures and secure network protocols that correspond to the state-of-the-art;
• Risk-based provisions for the use of encryption which are aligned with the information classification schemes (cf. AM-06) and consider the communication channel, type, strength and quality of the encryption;
• Requirements for the secure generation, storage, archiving, retrieval, distribution, withdrawal and deletion of the keys; and 
• Consideration of relevant legal and regulatory obligations and requirements.</t>
  </si>
  <si>
    <t>Procedures and technical safeguards for secure key management in the area of responsibility of the Cloud Service Provider include at least the following aspects: 
• Generation of keys for different cryptographic systems and applications;
• Issuing and obtaining public-key certificates;
• Provisioning and activation of the keys;
• Secure storage of keys (separation of key management system from application and middleware level) including description of how authorised users get access;
• Changing or updating cryptographic keys including policies defining under which conditions and in which manner the changes and/or updates are to be realised;
• Handling of compromised keys; 
• Withdrawal and deletion of keys; and 
• If pre-shared keys are used, the specific provisions relating to the safe use of this procedure are specified separately.</t>
  </si>
  <si>
    <t>Maybe more available</t>
  </si>
  <si>
    <t>System components and tools for source code management and software deployment that are used to make changes to system components of the cloud service in the production environment are subject to a role and rights concept according to IDM-01 and authorisation mechanisms. They must be configured in such a way that all changes are logged and can therefore be traced back to the individuals or system components executing them.</t>
  </si>
  <si>
    <t>Specified procedures for granting and modifying user accounts and access rights for internal and external employees of the Cloud Service Provider as well as for system components involved in automated authorisation processes of the Cloud Service Provider ensure compliance with the role and rights concept as well as the policy for managing user accounts and access rights.</t>
  </si>
  <si>
    <t>Fabasoft, CloudFerro</t>
  </si>
  <si>
    <t>User accounts of internal and external employees of the Cloud Service Provider as well as for system components involved in automated authorisation processes of the Cloud Service Provider are automatically locked if they have not been used for a period of two months. Approval from authorised personnel or system components are required to unlock these accounts. Locked user accounts are automatically revoked after six months. After revocation, the procedure for granting user accounts and access rights (cf. IDM-02) must be repeated.</t>
  </si>
  <si>
    <t>Fabasoft</t>
  </si>
  <si>
    <t>Access rights of internal and external employees of the Cloud Service Provider as well as of system components that play a role in automated authorisation processes of the Cloud Service Provider are reviewed at least once a year to ensure that they still correspond to the actual area of use. The review is carried out by authorised persons from the Cloud Service Provider's organisational units, who can assess the appropriateness of the assigned access rights based on their knowledge of the task areas of the employees or system components. Identified deviations will be dealt with promptly, but no later than 7 days after their detection, by appropriate modification or withdrawal of the access rights.</t>
  </si>
  <si>
    <t>The allocation of authentication information to access system components used to provide the cloud service to internal and external users of the cloud provider and system components that are involved in automated authorisation processes of the cloud provider is done in an orderly manner that ensures the confidentiality of the information. If passwords are used as authentication information, their confidentiality is ensured by the following procedures, as far as technically possible: 
• Users can initially create the password themselves or must change an initial password when logging on to the system component for the first time. An initial password loses its validity after a maximum of 14 days.
• When creating passwords, compliance with the password specifications (cf. IDM-09) is enforced as far as technically possible.
• The user is informed about changing or resetting the password.
• The server-side storage takes place using cryptographically strong hash functions.
Deviations are evaluated by means of a risk analysis and mitigating measures derived from this are implemented.</t>
  </si>
  <si>
    <t>System components in the Cloud Service Provider's area of responsibility that are used to provide the cloud service, authenticate users of the Cloud Service Provider's internal and external employees as well as system components that are involved in the Cloud Service Provider's automated authorisation processes. Access to the production environment requires two-factor or multi-factor authentication. Within the production environment, user authentication takes place through passwords, digitally signed certificates or procedures that achieve at least an equivalent level of security. If digitally signed certificates are used, administration is carried out in accordance with the Guideline for Key Management (cf. CRY-01). The password requirements are derived from a risk assessment and documented, communicated and provided in a password policy according to SP-01. Compliance with the requirements is enforced by the configuration of the system components, as far as technically possible.</t>
  </si>
  <si>
    <t>The Cloud Service Provider operates an information security management system (ISMS) in accordance with ISO/IEC 27001. The scope of the ISMS covers the Cloud Service Provider's organisational units, locations and procedures for providing the cloud service.
The measures for setting up, implementing, maintaining and continuously improving the ISMS are documented. 
The documentation includes:
• Scope of the ISMS (Section 4.3 of ISO/IEC 27001);
• Declaration of applicability (Section 6.1.3), and
• Results of the last management review (Section 9.3).</t>
  </si>
  <si>
    <t>Interfaces and dependencies between cloud service delivery activities performed by the Cloud Service Provider and activities performed by third parties are documented and communicated. This includes dealing with the following events:
• Vulnerabilities;
• Security incidents; and
• Malfunctions.
The type and scope of the documentation is geared towards the information requirements of the subject matter experts of the affected organisations in order to carry out the activities appropriately (e.g. definition of roles and responsibilities in guidelines, description of cooperation obligations in service descriptions and contracts).
The communication of changes to the interfaces and dependencies takes place in a timely manner so that the affected organisations and third parties can react appropriately with organisational and technical measures before the changes take effect.</t>
  </si>
  <si>
    <t>System components under the Cloud Service Provider's responsibility that are used to deploy the cloud service in the production environment are configured with malware protection according to the policies and instructions. If protection programs are set up with signature and behaviour-based malware detection and removal, these protection programs are updated at least daily.</t>
  </si>
  <si>
    <t>The execution of data backups is monitored by technical and organisational measures. Malfunctions are investigated by qualified staff and rectified promptly to ensure compliance with contractual obligations to cloud customers or the Cloud Service Provider's business requirements regarding the scope and frequency of data backup and the duration of storage.</t>
  </si>
  <si>
    <t>The logging data is automatically monitored for events that may violate the protection goals in accordance with the logging and monitoring requirements. This also includes the detection of relationships between events (event correlation). 
Identified events are automatically reported to the appropriate departments for prompt evaluation and action.</t>
  </si>
  <si>
    <t>The Cloud Service Provider retains the generated log data and keeps these in an appropriate, unchangeable and aggregated form, regardless of the source of such data, so that a central, authorised evaluation of the data is possible. Log data is deleted if it is no longer required for the purpose for which they were collected. 
Between logging servers and the assets to be logged, authentication takes place to protect the integrity and authenticity of the information transmitted and stored. The transfer takes place using state-of-the-art encryption or a dedicated administration network (out-of-band management).</t>
  </si>
  <si>
    <t>Access to system components for logging and monitoring in the Cloud Service Provider’s area of responsibility is restricted to authorised users. Changes to the configuration are made in accordance with the applicable policies (cf. DEV-03).</t>
  </si>
  <si>
    <t>maybe?</t>
  </si>
  <si>
    <t>The Cloud Service Provider monitors the system components for logging and monitoring in its area of responsibility. Failures are automatically and promptly reported to the Cloud Service Provider’s responsible departments so that these can assess the failures and take required action.</t>
  </si>
  <si>
    <t>System components in the area of responsibility of the Cloud Service Provider for the provision of the cloud service are automatically checked for known vulnerabilities at least once a month in accordance with the policies for handling vulnerabilities (cf. OPS-18), the severity is assessed in accordance with defined criteria and measures for timely remediation or mitigation are initiated within defined time windows.</t>
  </si>
  <si>
    <t>System components in the production environment used to provide the cloud service under the Cloud Service Provider's responsibility are hardened according to generally accepted industry standards. The hardening requirements for each system component are documented. If non-modifiable ("immutable") images are used, compliance with the hardening specifications as defined in the hardening requirements is checked upon creation of the images. Configuration and log files regarding the continuous availability of the images are retained.</t>
  </si>
  <si>
    <t>Cloud customer data stored and processed on shared virtual and physical resources is securely and strictly separated according to a documented approach based on OIS-07 risk analysis to ensure the confidentiality and integrity of this data.</t>
  </si>
  <si>
    <t>The cloud service provided is equipped with error handling and logging mechanisms. These enable cloud users to obtain security-related information about the security status of the cloud service as well as the data, services or functions it provides.
The information is detailed enough to allow cloud users to check the following aspects, insofar as they are applicable to the cloud service:
• Which data, services or functions available to the cloud user within the cloud service, have been accessed by whom and when (Audit Logs);
• Malfunctions during processing of automatic or manual actions; and
• Changes to security-relevant configuration parameters, error handling and logging mechanisms, user authentication, action authorisation, cryptography, and communication security.
The logged information is protected from unauthorised access and modification and can be deleted by the Cloud Customer.
If the cloud customer is responsible for the activation or type and scope of logging, the Cloud Service Provider must provide appropriate logging capabilities.</t>
  </si>
  <si>
    <t>The Cloud Service Provider provides authentication mechanisms that can force strong authentication (e.g. two or more factors) for users, IT components or applications within the cloud users' area of responsibility.
These authentication mechanisms are set up at all access points that allow users, IT components or applications to interact with the cloud service. 
For privileged users, IT components or applications, these authentication mechanisms are enforced.</t>
  </si>
  <si>
    <t>If passwords are used as authentication information for the cloud service, their confidentiality is ensured by the following procedures:
• Users can initially create the password themselves or must change an initial password when logging in to the cloud service for the first time. An initial password loses its validity after a maximum of 14 days.
• When creating passwords, compliance with the length and complexity requirements of the Cloud Service Provider (cf. IDM-09) or the cloud customer is technically enforced.
• The user is informed about changing or resetting the password.
• The server-side storage takes place using state-of-the-art cryptographically strong hash functions in combination with at least 32-bit long salt values.</t>
  </si>
  <si>
    <t>Access to the functions provided by the cloud service is restricted by access controls (authorisation mechanisms) that verify whether users, IT components, or applications are authorised to perform certain actions.
The Cloud Service Provider validates the functionality of the authorisation mechanisms before new functions are made available to cloud users and in the event of changes to the authorisation mechanisms of existing functions (cf. DEV-06). The severity of identified vulnerabilities is assessed according to defined criteria based on industry standard metrics (e.g. Common Vulnerability Scoring System) and measures for timely resolution or mitigation are initiated. Vulnerabilities that have not been fixed are listed in the online register of known vulnerabilities (cf. PSS-02).</t>
  </si>
  <si>
    <t>If the Cloud Service offers functions for software-defined networking (SDN), the confidentiality of the data of the cloud user is ensured by suitable SDN procedures.
The Cloud Service Provider validates the functionality of the SDN functions before providing new SDN features to cloud users or modifying existing SDN features. Identified defects are assessed and corrected in a risk-oriented manner.</t>
  </si>
  <si>
    <t>The cloud customer is able to specify the locations (location/country) of the data processing and storage including data backups according to the contractually available options.
This must be ensured by the cloud architecture.</t>
  </si>
  <si>
    <t>SP-1</t>
  </si>
  <si>
    <t>AM-01.5H</t>
  </si>
  <si>
    <t>The CSP shall monitor the process that is maintaining the inventory of 
assets to guarantee it is up-to-date in accordance with contractual agreements.</t>
  </si>
  <si>
    <t>CCM-04.1H</t>
  </si>
  <si>
    <t>The CSP shall approve any change to the cloud service, based on defined criteria and involving CSCs in the approval process according to contractual requirements, before they are made available to CSCs in the production environment.</t>
  </si>
  <si>
    <t>CCM-05.4H</t>
  </si>
  <si>
    <t>The changes to the cloud service in the production environment shall be monitored to enforce these roles and rights.</t>
  </si>
  <si>
    <t>CO-03.4H</t>
  </si>
  <si>
    <t>Internal audits shall be supplemented by procedures to monitor compliance with applicable requirements of policies and procedures.</t>
  </si>
  <si>
    <t>CO-03.5H</t>
  </si>
  <si>
    <t>The CSP shall implement monitoring to identify vulnerabilities.</t>
  </si>
  <si>
    <t>HR-04.3H</t>
  </si>
  <si>
    <t>The CSP shall monitor the completion of the security awareness and training program.</t>
  </si>
  <si>
    <t>IAM-02.2S</t>
  </si>
  <si>
    <t>The CSP shall define, document and implement procedures for managing identities assigned to a single person, and access rights to personnel that comply with the role, authority and rights policies (cf. IAM-01) and with the policies for managing identities.</t>
  </si>
  <si>
    <t>IAM-03.1B</t>
  </si>
  <si>
    <t>The CSP shall document and implement a mechanism to disable identities after a certain period of inactivity, as defined in the policy required in IAM-02.1B, with exceptions for identities to be used in emergency recovery and similar scenarios, where extended periods of inactivity may be allowed.</t>
  </si>
  <si>
    <t>IAM-03.7H</t>
  </si>
  <si>
    <t>The CSP shall monitor the context of authentication attempts and flag suspicious events to authorised persons, as relevant.</t>
  </si>
  <si>
    <t>IAM-05.1H</t>
  </si>
  <si>
    <t>The CSP shall review the identities under its responsibility and associated access rights at least every six (6) months to ensure that they still correspond to the current needs.</t>
  </si>
  <si>
    <t>IAM-07.3B</t>
  </si>
  <si>
    <t>All authentication mechanisms shall include a mechanism to disable an identity after a predefined number of unsuccessful attempts.</t>
  </si>
  <si>
    <t>IM-02.6H</t>
  </si>
  <si>
    <t>The CSP shall monitor the handling of information security incidents to verify the application of incident management policies and procedures.</t>
  </si>
  <si>
    <t>INQ-03.4H</t>
  </si>
  <si>
    <t>The CSP shall monitor the access and activities performed by or on behalf of investigators as determined by the process described in INQ-01.</t>
  </si>
  <si>
    <t>ISP-03.10H</t>
  </si>
  <si>
    <t>(The CSP shall maintain a list of exceptions to the information security policies and procedures, including associated controls.) The list of exceptions shall be monitored to ensure that the approved exceptions have not expired and that all reviews and approvals are up-to-date.</t>
  </si>
  <si>
    <t>OIS-02.6H</t>
  </si>
  <si>
    <t>The CSP shall monitor and enforce measures related to segregation of duties to resolve conflicting roles.</t>
  </si>
  <si>
    <t>OPS-02.1H</t>
  </si>
  <si>
    <t>The CSP shall document and implement technical and organisational safeguards for the monitoring of provisioning and de-provisioning of cloud services to ensure compliance with the service level agreement.</t>
  </si>
  <si>
    <t>Check of specific monitoring configuration?
ActivityLogging?</t>
  </si>
  <si>
    <t>OPS-05.3H</t>
  </si>
  <si>
    <t>The CSP shall monitor with automation the systems covered by the malware protection, the configuration of the corresponding mechanisms to help fulfilment of above requirements, and the antimalware scans to track detected malware or irregularities.</t>
  </si>
  <si>
    <t>OPS-07.2H</t>
  </si>
  <si>
    <t>The CSP shall monitor the execution of data backups to check the implementation and consistency of these measures.</t>
  </si>
  <si>
    <t>OPS-12.1H</t>
  </si>
  <si>
    <t>The CSP shall monitor with automation log data in order to identify information security events that might lead to information security incidents related to the cloud service, in accordance with the logging and monitoring requirements.</t>
  </si>
  <si>
    <t>OPS-13.9H</t>
  </si>
  <si>
    <t>The CSP shall monitor with automation the aggregation and deletion of logging and monitoring data.</t>
  </si>
  <si>
    <t>Which EUCS version? Is that OPS-13.7?</t>
  </si>
  <si>
    <t>OPS-18.6H</t>
  </si>
  <si>
    <t>The CSP shall provide and promote, where appropriate, automatic update mechanisms for the assets provided by the CSP that the CSCs have to install or operate under their own responsibility, to ease the rollout of patches and updates after an initial approval from the CSC.</t>
  </si>
  <si>
    <t>OPS-21.1B</t>
  </si>
  <si>
    <t>The CSP shall harden all the system components under its responsibility that are used to provide the cloud service, according to industry accepted standards.</t>
  </si>
  <si>
    <t>OPS-21.3H</t>
  </si>
  <si>
    <t>The CSP shall monitor these system components for conformity with hardening requirements.</t>
  </si>
  <si>
    <t>PM-04.8H</t>
  </si>
  <si>
    <t>The CSP shall supplement procedures for monitoring compliance, by leveraging automatic procedures, when appropriate, relating to the following aspects:
- Configuration of system components;
- Performance and availability of system components;
- Response time to malfunctions and information security incidents; and
- Recovery time (time until completion of error handling).</t>
  </si>
  <si>
    <t>PM-04.9H</t>
  </si>
  <si>
    <t>The CSP shall monitor and report the identified violations and discrepancies internally within the CSP for prompt assessment and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</si>
</sst>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sz val="11"/>
      <color theme="1"/>
      <name val="Aptos Narrow"/>
      <scheme val="minor"/>
    </font>
    <font>
      <sz val="11"/>
      <color rgb="FF000000"/>
      <name val="Aptos Narrow"/>
      <family val="2"/>
      <charset val="238"/>
      <scheme val="minor"/>
    </font>
    <font>
      <sz val="11"/>
      <color theme="1"/>
      <name val="Aptos Narrow"/>
      <family val="2"/>
      <scheme val="minor"/>
    </font>
    <font>
      <sz val="10"/>
      <color theme="1"/>
      <name val="Arial"/>
      <family val="2"/>
    </font>
    <font>
      <sz val="11"/>
      <color theme="1"/>
      <name val="Calibri"/>
      <family val="2"/>
    </font>
    <font>
      <sz val="11"/>
      <color theme="1"/>
      <name val="Aptos Display"/>
      <scheme val="major"/>
    </font>
    <font>
      <sz val="11"/>
      <color theme="1"/>
      <name val="Aptos Narrow"/>
      <family val="2"/>
      <charset val="238"/>
      <scheme val="minor"/>
    </font>
    <font>
      <u/>
      <sz val="12"/>
      <color theme="10"/>
      <name val="Aptos Narrow"/>
      <family val="2"/>
      <scheme val="minor"/>
    </font>
    <font>
      <b/>
      <sz val="12"/>
      <color theme="1"/>
      <name val="Aptos Narrow"/>
      <family val="2"/>
      <scheme val="minor"/>
    </font>
    <font>
      <b/>
      <sz val="12"/>
      <color theme="1"/>
      <name val="Aptos Narrow"/>
      <scheme val="minor"/>
    </font>
    <font>
      <sz val="11"/>
      <color theme="1"/>
      <name val="Arial"/>
      <family val="2"/>
    </font>
    <font>
      <sz val="12"/>
      <color rgb="FF000000"/>
      <name val="Aptos Narrow"/>
      <charset val="1"/>
    </font>
    <font>
      <sz val="12"/>
      <color rgb="FF000000"/>
      <name val="Aptos Narrow"/>
      <scheme val="minor"/>
    </font>
    <font>
      <b/>
      <sz val="12"/>
      <color rgb="FF000000"/>
      <name val="Aptos Narrow"/>
      <scheme val="minor"/>
    </font>
    <font>
      <sz val="11"/>
      <color rgb="FF006100"/>
      <name val="Aptos Narrow"/>
      <scheme val="minor"/>
    </font>
    <font>
      <u/>
      <sz val="11"/>
      <color theme="9" tint="-0.249977111117893"/>
      <name val="Aptos Narrow"/>
      <scheme val="minor"/>
    </font>
    <font>
      <sz val="11"/>
      <color theme="9" tint="-0.249977111117893"/>
      <name val="Aptos Narrow"/>
      <scheme val="minor"/>
    </font>
    <font>
      <sz val="12"/>
      <color rgb="FFFF0000"/>
      <name val="Aptos Narrow"/>
      <scheme val="minor"/>
    </font>
    <font>
      <sz val="12"/>
      <color theme="1"/>
      <name val="Aptos Narrow"/>
      <scheme val="minor"/>
    </font>
  </fonts>
  <fills count="4">
    <fill>
      <patternFill patternType="none"/>
    </fill>
    <fill>
      <patternFill patternType="gray125"/>
    </fill>
    <fill>
      <patternFill patternType="solid">
        <fgColor theme="4" tint="0.79998168889431442"/>
        <bgColor indexed="65"/>
      </patternFill>
    </fill>
    <fill>
      <patternFill patternType="solid">
        <fgColor rgb="FFC6EFCE"/>
      </patternFill>
    </fill>
  </fills>
  <borders count="7">
    <border>
      <left/>
      <right/>
      <top/>
      <bottom/>
      <diagonal/>
    </border>
    <border>
      <left style="thin">
        <color rgb="FF156082"/>
      </left>
      <right/>
      <top style="thin">
        <color rgb="FF156082"/>
      </top>
      <bottom/>
      <diagonal/>
    </border>
    <border>
      <left/>
      <right/>
      <top style="thin">
        <color rgb="FF156082"/>
      </top>
      <bottom/>
      <diagonal/>
    </border>
    <border>
      <left style="thin">
        <color rgb="FF156082"/>
      </left>
      <right/>
      <top/>
      <bottom/>
      <diagonal/>
    </border>
    <border>
      <left style="thin">
        <color rgb="FF000000"/>
      </left>
      <right style="thin">
        <color rgb="FF000000"/>
      </right>
      <top style="thin">
        <color rgb="FF000000"/>
      </top>
      <bottom style="thin">
        <color rgb="FF000000"/>
      </bottom>
      <diagonal/>
    </border>
    <border>
      <left style="thin">
        <color theme="4"/>
      </left>
      <right/>
      <top style="thin">
        <color theme="4"/>
      </top>
      <bottom/>
      <diagonal/>
    </border>
    <border>
      <left/>
      <right/>
      <top style="thin">
        <color theme="4"/>
      </top>
      <bottom/>
      <diagonal/>
    </border>
  </borders>
  <cellStyleXfs count="5">
    <xf numFmtId="0" fontId="0" fillId="0" borderId="0"/>
    <xf numFmtId="0" fontId="3" fillId="0" borderId="0"/>
    <xf numFmtId="0" fontId="8" fillId="0" borderId="0" applyNumberFormat="0" applyFill="0" applyBorder="0" applyAlignment="0" applyProtection="0"/>
    <xf numFmtId="0" fontId="1" fillId="2" borderId="0" applyNumberFormat="0" applyBorder="0" applyAlignment="0" applyProtection="0"/>
    <xf numFmtId="0" fontId="15" fillId="3" borderId="0" applyNumberFormat="0" applyBorder="0" applyAlignment="0" applyProtection="0"/>
  </cellStyleXfs>
  <cellXfs count="49">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2" fillId="0" borderId="3" xfId="0" applyFont="1" applyBorder="1" applyAlignment="1">
      <alignment vertical="center" wrapText="1"/>
    </xf>
    <xf numFmtId="0" fontId="4" fillId="0" borderId="4" xfId="1" applyFont="1" applyBorder="1" applyAlignment="1">
      <alignment vertical="top" wrapText="1"/>
    </xf>
    <xf numFmtId="0" fontId="5" fillId="0" borderId="0" xfId="0" applyFont="1" applyAlignment="1">
      <alignment horizontal="left" vertical="center" indent="6"/>
    </xf>
    <xf numFmtId="0" fontId="0" fillId="0" borderId="0" xfId="0" applyAlignment="1">
      <alignment wrapText="1"/>
    </xf>
    <xf numFmtId="0" fontId="6" fillId="0" borderId="0" xfId="0" applyFont="1" applyAlignment="1">
      <alignment horizontal="left" vertical="center" indent="6"/>
    </xf>
    <xf numFmtId="0" fontId="6" fillId="0" borderId="0" xfId="0" applyFont="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6" xfId="0" applyFont="1" applyBorder="1" applyAlignment="1">
      <alignment wrapText="1"/>
    </xf>
    <xf numFmtId="0" fontId="8" fillId="0" borderId="0" xfId="2" applyAlignment="1">
      <alignment wrapText="1"/>
    </xf>
    <xf numFmtId="0" fontId="10" fillId="0" borderId="0" xfId="0" applyFont="1"/>
    <xf numFmtId="0" fontId="11" fillId="0" borderId="0" xfId="0" applyFont="1" applyAlignment="1">
      <alignment wrapText="1"/>
    </xf>
    <xf numFmtId="0" fontId="10" fillId="0" borderId="0" xfId="0" applyFont="1" applyAlignment="1">
      <alignment wrapText="1"/>
    </xf>
    <xf numFmtId="0" fontId="11" fillId="0" borderId="0" xfId="0" applyFont="1" applyAlignment="1">
      <alignment horizontal="left" vertical="center" wrapText="1"/>
    </xf>
    <xf numFmtId="0" fontId="0" fillId="0" borderId="0" xfId="0" applyAlignment="1">
      <alignment horizontal="right"/>
    </xf>
    <xf numFmtId="0" fontId="0" fillId="0" borderId="0" xfId="0" applyAlignment="1">
      <alignment horizontal="right" wrapText="1"/>
    </xf>
    <xf numFmtId="0" fontId="0" fillId="0" borderId="0" xfId="0" applyAlignment="1">
      <alignment horizontal="left"/>
    </xf>
    <xf numFmtId="0" fontId="10" fillId="0" borderId="0" xfId="0" applyFont="1" applyAlignment="1">
      <alignment horizontal="left"/>
    </xf>
    <xf numFmtId="0" fontId="9" fillId="0" borderId="0" xfId="0" applyFont="1" applyAlignment="1">
      <alignment vertical="center"/>
    </xf>
    <xf numFmtId="0" fontId="0" fillId="0" borderId="0" xfId="0" applyAlignment="1">
      <alignment vertical="center"/>
    </xf>
    <xf numFmtId="0" fontId="0" fillId="0" borderId="0" xfId="0"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wrapText="1"/>
    </xf>
    <xf numFmtId="0" fontId="1" fillId="2" borderId="0" xfId="3" applyAlignment="1">
      <alignment vertical="center"/>
    </xf>
    <xf numFmtId="0" fontId="12" fillId="0" borderId="0" xfId="0" applyFont="1"/>
    <xf numFmtId="0" fontId="9" fillId="0" borderId="0" xfId="0" applyFont="1" applyAlignment="1">
      <alignment vertical="center" wrapText="1"/>
    </xf>
    <xf numFmtId="0" fontId="13" fillId="0" borderId="0" xfId="0" applyFont="1" applyAlignment="1">
      <alignment wrapText="1"/>
    </xf>
    <xf numFmtId="0" fontId="9" fillId="0" borderId="0" xfId="0" applyFont="1" applyAlignment="1">
      <alignment horizontal="center" vertical="center"/>
    </xf>
    <xf numFmtId="0" fontId="0" fillId="0" borderId="0" xfId="0" quotePrefix="1" applyAlignment="1">
      <alignment horizontal="center" vertical="center"/>
    </xf>
    <xf numFmtId="0" fontId="0" fillId="0" borderId="0" xfId="0" applyAlignment="1">
      <alignment horizontal="center" vertical="center"/>
    </xf>
    <xf numFmtId="9" fontId="0" fillId="0" borderId="0" xfId="0" applyNumberFormat="1" applyAlignment="1">
      <alignment horizontal="center" vertical="center"/>
    </xf>
    <xf numFmtId="0" fontId="12" fillId="0" borderId="0" xfId="0" applyFont="1" applyAlignment="1">
      <alignment wrapText="1"/>
    </xf>
    <xf numFmtId="0" fontId="0" fillId="0" borderId="0" xfId="0" applyAlignment="1">
      <alignment horizontal="left" vertical="center" wrapText="1"/>
    </xf>
    <xf numFmtId="0" fontId="13" fillId="0" borderId="0" xfId="0" applyFont="1" applyAlignment="1">
      <alignment vertical="center" wrapText="1"/>
    </xf>
    <xf numFmtId="0" fontId="0" fillId="0" borderId="0" xfId="0" quotePrefix="1" applyAlignment="1">
      <alignment vertical="center"/>
    </xf>
    <xf numFmtId="0" fontId="0" fillId="0" borderId="0" xfId="0" applyAlignment="1">
      <alignment horizontal="left" vertical="center"/>
    </xf>
    <xf numFmtId="0" fontId="12" fillId="0" borderId="0" xfId="0" applyFont="1" applyAlignment="1">
      <alignment vertical="center"/>
    </xf>
    <xf numFmtId="0" fontId="12" fillId="0" borderId="0" xfId="0" quotePrefix="1" applyFont="1"/>
    <xf numFmtId="0" fontId="0" fillId="0" borderId="0" xfId="0" applyAlignment="1">
      <alignment horizontal="center" vertical="center" wrapText="1"/>
    </xf>
    <xf numFmtId="0" fontId="1" fillId="2" borderId="0" xfId="3"/>
    <xf numFmtId="0" fontId="0" fillId="0" borderId="0" xfId="0" quotePrefix="1"/>
    <xf numFmtId="0" fontId="16" fillId="0" borderId="0" xfId="4" applyFont="1" applyFill="1" applyAlignment="1">
      <alignment vertical="center"/>
    </xf>
    <xf numFmtId="0" fontId="17" fillId="2" borderId="0" xfId="3" applyFont="1" applyAlignment="1">
      <alignment vertical="center"/>
    </xf>
    <xf numFmtId="0" fontId="9" fillId="0" borderId="0" xfId="0" applyFont="1"/>
    <xf numFmtId="0" fontId="16" fillId="2" borderId="0" xfId="3" applyFont="1" applyAlignment="1">
      <alignment vertical="center"/>
    </xf>
    <xf numFmtId="0" fontId="19" fillId="0" borderId="0" xfId="0" applyFont="1" applyAlignment="1">
      <alignment vertical="center"/>
    </xf>
  </cellXfs>
  <cellStyles count="5">
    <cellStyle name="20% - Accent1" xfId="3" builtinId="30"/>
    <cellStyle name="Good" xfId="4" builtinId="26"/>
    <cellStyle name="Hyperlink" xfId="2" builtinId="8"/>
    <cellStyle name="Normal" xfId="0" builtinId="0"/>
    <cellStyle name="Standard 2" xfId="1" xr:uid="{68F6CE7B-B194-A545-836A-99E3B97BDE38}"/>
  </cellStyles>
  <dxfs count="0"/>
  <tableStyles count="0" defaultTableStyle="TableStyleMedium2" defaultPivotStyle="PivotStyleLight16"/>
  <colors>
    <mruColors>
      <color rgb="FFF5F5F5"/>
      <color rgb="FF00B050"/>
      <color rgb="FF0F9ED5"/>
      <color rgb="FF4EA72E"/>
      <color rgb="FFC1E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microsoft.com/office/2017/10/relationships/person" Target="persons/perso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Banse Christian" id="{EC0A44DB-9290-4106-A6F3-B2847659E613}" userId="" providerId=""/>
  <person displayName="Schneider Angelika" id="{474E17EC-6A9F-4D46-8424-ED357576F1E2}" userId="" providerId=""/>
  <person displayName="Schneider, Angelika" id="{D1367D30-D911-BC4E-982C-E9B25028673B}" userId="S::angelika.schneider@aisec.fraunhofer.de::7d97d692-2b35-4c72-976a-aabcbe72e87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4" dT="2025-04-23T10:45:06.87" personId="{D1367D30-D911-BC4E-982C-E9B25028673B}" id="{16BFA6BD-7FA8-1E41-8079-CEE863249609}">
    <text xml:space="preserve">Delete?
</text>
  </threadedComment>
  <threadedComment ref="B58" dT="2024-10-14T12:54:15.50" personId="{EC0A44DB-9290-4106-A6F3-B2847659E613}" id="{BB53358F-0236-4C70-8356-A04CC367CBD0}">
    <text>we want to get rid of the "TLS" metrics but rather only use the more generic transport encryption metrics already defined in clouditor</text>
  </threadedComment>
  <threadedComment ref="B58" dT="2024-12-12T11:40:17.61" personId="{474E17EC-6A9F-4D46-8424-ED357576F1E2}" id="{90323976-11D6-4E29-A267-82A70059C361}" parentId="{BB53358F-0236-4C70-8356-A04CC367CBD0}">
    <text>I think you mean the TransportEncryptionProtocol and TransportEncryptionProtocolVersion below. I think we can remove TlsVersion.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heatsheetseries.owasp.org/cheatsheets/Session_Management_Cheat_Sheet.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9953-2D90-0F40-9B66-95EEE115B67A}">
  <dimension ref="A1:R103"/>
  <sheetViews>
    <sheetView tabSelected="1" topLeftCell="A89" zoomScaleNormal="100" workbookViewId="0">
      <pane xSplit="3" topLeftCell="I63" activePane="topRight" state="frozen"/>
      <selection pane="topRight" activeCell="J65" sqref="J65"/>
    </sheetView>
  </sheetViews>
  <sheetFormatPr defaultColWidth="11" defaultRowHeight="15.75" customHeight="1" outlineLevelRow="1"/>
  <cols>
    <col min="1" max="1" width="22.5" bestFit="1" customWidth="1"/>
    <col min="2" max="2" width="40.375" bestFit="1" customWidth="1"/>
    <col min="3" max="3" width="33.625" hidden="1" customWidth="1"/>
    <col min="4" max="4" width="77.375" customWidth="1"/>
    <col min="5" max="5" width="81.375" customWidth="1"/>
    <col min="6" max="6" width="11.625" hidden="1" customWidth="1"/>
    <col min="7" max="7" width="13" hidden="1" customWidth="1"/>
    <col min="8" max="8" width="46.125" hidden="1" customWidth="1"/>
    <col min="9" max="9" width="16" customWidth="1"/>
    <col min="10" max="10" width="66.625" style="32" customWidth="1"/>
    <col min="11" max="11" width="19.625" style="32" customWidth="1"/>
    <col min="12" max="12" width="26.125" customWidth="1"/>
    <col min="13" max="13" width="39.625" customWidth="1"/>
    <col min="14" max="14" width="32" customWidth="1"/>
    <col min="15" max="15" width="70.5" customWidth="1"/>
    <col min="16" max="16" width="31" customWidth="1"/>
    <col min="17" max="17" width="34.375" customWidth="1"/>
  </cols>
  <sheetData>
    <row r="1" spans="1:18" ht="61.5">
      <c r="A1" s="22" t="s">
        <v>0</v>
      </c>
      <c r="B1" s="22" t="s">
        <v>1</v>
      </c>
      <c r="C1" s="22" t="s">
        <v>2</v>
      </c>
      <c r="D1" s="22" t="s">
        <v>3</v>
      </c>
      <c r="E1" s="28" t="s">
        <v>4</v>
      </c>
      <c r="F1" s="22" t="s">
        <v>5</v>
      </c>
      <c r="G1" s="22" t="s">
        <v>6</v>
      </c>
      <c r="H1" s="22" t="s">
        <v>7</v>
      </c>
      <c r="I1" s="30" t="s">
        <v>8</v>
      </c>
      <c r="J1" s="30" t="s">
        <v>9</v>
      </c>
      <c r="K1" s="22" t="s">
        <v>10</v>
      </c>
      <c r="L1" s="22" t="s">
        <v>11</v>
      </c>
      <c r="M1" s="22" t="s">
        <v>12</v>
      </c>
      <c r="N1" s="22" t="s">
        <v>13</v>
      </c>
      <c r="O1" s="22" t="s">
        <v>14</v>
      </c>
      <c r="P1" s="28" t="s">
        <v>15</v>
      </c>
      <c r="Q1" s="28" t="s">
        <v>16</v>
      </c>
      <c r="R1" s="28" t="s">
        <v>17</v>
      </c>
    </row>
    <row r="2" spans="1:18" ht="30.75">
      <c r="A2" s="23" t="s">
        <v>18</v>
      </c>
      <c r="B2" s="44" t="s">
        <v>19</v>
      </c>
      <c r="C2" s="23"/>
      <c r="D2" s="23" t="s">
        <v>20</v>
      </c>
      <c r="E2" s="23" t="s">
        <v>21</v>
      </c>
      <c r="F2" s="23" t="s">
        <v>22</v>
      </c>
      <c r="G2" s="23" t="s">
        <v>23</v>
      </c>
      <c r="H2" s="23" t="s">
        <v>24</v>
      </c>
      <c r="I2" s="31" t="s">
        <v>25</v>
      </c>
      <c r="J2" s="32">
        <v>0</v>
      </c>
      <c r="K2" s="23" t="s">
        <v>26</v>
      </c>
      <c r="L2" s="25" t="s">
        <v>27</v>
      </c>
      <c r="M2" s="23" t="s">
        <v>28</v>
      </c>
      <c r="N2" s="23"/>
      <c r="O2" s="24" t="b">
        <v>0</v>
      </c>
      <c r="P2" s="24" t="b">
        <v>0</v>
      </c>
      <c r="R2" s="24" t="b">
        <v>1</v>
      </c>
    </row>
    <row r="3" spans="1:18" ht="30.75" outlineLevel="1">
      <c r="A3" s="23"/>
      <c r="B3" s="44" t="s">
        <v>29</v>
      </c>
      <c r="C3" s="23"/>
      <c r="D3" s="23" t="s">
        <v>30</v>
      </c>
      <c r="E3" s="23" t="s">
        <v>21</v>
      </c>
      <c r="F3" s="23" t="s">
        <v>22</v>
      </c>
      <c r="G3" s="23" t="s">
        <v>23</v>
      </c>
      <c r="H3" s="23" t="s">
        <v>24</v>
      </c>
      <c r="I3" s="31" t="s">
        <v>25</v>
      </c>
      <c r="J3" s="32">
        <v>0</v>
      </c>
      <c r="K3" s="23" t="s">
        <v>26</v>
      </c>
      <c r="L3" s="25" t="s">
        <v>27</v>
      </c>
      <c r="M3" s="23" t="s">
        <v>28</v>
      </c>
      <c r="N3" s="23"/>
      <c r="O3" s="24" t="b">
        <v>0</v>
      </c>
      <c r="P3" s="24" t="b">
        <v>0</v>
      </c>
      <c r="R3" s="24" t="b">
        <v>1</v>
      </c>
    </row>
    <row r="4" spans="1:18" ht="30.75" outlineLevel="1">
      <c r="A4" s="23"/>
      <c r="B4" s="44" t="s">
        <v>31</v>
      </c>
      <c r="C4" s="23"/>
      <c r="D4" s="23" t="s">
        <v>32</v>
      </c>
      <c r="E4" s="23" t="s">
        <v>21</v>
      </c>
      <c r="F4" s="23" t="s">
        <v>22</v>
      </c>
      <c r="G4" s="23" t="s">
        <v>23</v>
      </c>
      <c r="H4" s="23" t="s">
        <v>24</v>
      </c>
      <c r="I4" s="31" t="s">
        <v>25</v>
      </c>
      <c r="J4" s="32">
        <v>0</v>
      </c>
      <c r="K4" s="23" t="s">
        <v>26</v>
      </c>
      <c r="L4" s="25" t="s">
        <v>27</v>
      </c>
      <c r="M4" s="23" t="s">
        <v>28</v>
      </c>
      <c r="N4" s="23"/>
      <c r="O4" s="24" t="b">
        <v>0</v>
      </c>
      <c r="P4" s="24" t="b">
        <v>0</v>
      </c>
      <c r="R4" s="24" t="b">
        <v>1</v>
      </c>
    </row>
    <row r="5" spans="1:18" ht="30.75" outlineLevel="1">
      <c r="A5" s="23"/>
      <c r="B5" s="44" t="s">
        <v>33</v>
      </c>
      <c r="C5" s="23"/>
      <c r="D5" s="23" t="s">
        <v>34</v>
      </c>
      <c r="E5" s="23" t="s">
        <v>21</v>
      </c>
      <c r="F5" s="23" t="s">
        <v>22</v>
      </c>
      <c r="G5" s="23" t="s">
        <v>23</v>
      </c>
      <c r="H5" s="23" t="s">
        <v>24</v>
      </c>
      <c r="I5" s="31" t="s">
        <v>25</v>
      </c>
      <c r="J5" s="32">
        <v>0</v>
      </c>
      <c r="K5" s="23" t="s">
        <v>26</v>
      </c>
      <c r="L5" s="25" t="s">
        <v>27</v>
      </c>
      <c r="M5" s="23" t="s">
        <v>28</v>
      </c>
      <c r="N5" s="23"/>
      <c r="O5" s="24" t="b">
        <v>0</v>
      </c>
      <c r="P5" s="24" t="b">
        <v>0</v>
      </c>
      <c r="R5" s="24" t="b">
        <v>1</v>
      </c>
    </row>
    <row r="6" spans="1:18" outlineLevel="1">
      <c r="A6" s="23"/>
      <c r="B6" s="23" t="s">
        <v>35</v>
      </c>
      <c r="C6" s="23"/>
      <c r="D6" s="23" t="s">
        <v>36</v>
      </c>
      <c r="E6" s="23" t="s">
        <v>37</v>
      </c>
      <c r="F6" s="23"/>
      <c r="G6" s="23" t="s">
        <v>38</v>
      </c>
      <c r="H6" s="23" t="s">
        <v>39</v>
      </c>
      <c r="I6" s="31" t="s">
        <v>25</v>
      </c>
      <c r="J6" s="31" t="s">
        <v>40</v>
      </c>
      <c r="K6" s="23"/>
      <c r="L6" s="23" t="s">
        <v>41</v>
      </c>
      <c r="M6" s="25" t="s">
        <v>42</v>
      </c>
      <c r="N6" s="23" t="s">
        <v>43</v>
      </c>
      <c r="O6" s="24" t="b">
        <v>0</v>
      </c>
      <c r="P6" s="24" t="b">
        <v>0</v>
      </c>
      <c r="R6" s="24" t="b">
        <v>0</v>
      </c>
    </row>
    <row r="7" spans="1:18" ht="30.75">
      <c r="A7" s="23" t="s">
        <v>44</v>
      </c>
      <c r="B7" s="44" t="s">
        <v>45</v>
      </c>
      <c r="C7" s="23"/>
      <c r="D7" s="23" t="s">
        <v>46</v>
      </c>
      <c r="E7" s="23" t="s">
        <v>37</v>
      </c>
      <c r="F7" s="23"/>
      <c r="G7" s="23" t="s">
        <v>47</v>
      </c>
      <c r="H7" s="23" t="s">
        <v>48</v>
      </c>
      <c r="I7" s="31" t="s">
        <v>25</v>
      </c>
      <c r="J7" s="32" t="str">
        <f>"100 %"</f>
        <v>100 %</v>
      </c>
      <c r="K7" s="23" t="s">
        <v>26</v>
      </c>
      <c r="L7" s="25" t="s">
        <v>49</v>
      </c>
      <c r="M7" s="25" t="s">
        <v>42</v>
      </c>
      <c r="N7" s="23"/>
      <c r="O7" s="24" t="b">
        <v>0</v>
      </c>
      <c r="P7" s="24" t="b">
        <v>1</v>
      </c>
      <c r="Q7" t="str">
        <f>B7</f>
        <v>CodeSignOff</v>
      </c>
      <c r="R7" s="24" t="b">
        <v>0</v>
      </c>
    </row>
    <row r="8" spans="1:18" ht="30.75">
      <c r="A8" s="23"/>
      <c r="B8" s="44" t="s">
        <v>50</v>
      </c>
      <c r="C8" s="23"/>
      <c r="D8" s="23" t="s">
        <v>51</v>
      </c>
      <c r="E8" s="23" t="s">
        <v>37</v>
      </c>
      <c r="F8" s="23"/>
      <c r="G8" s="23" t="s">
        <v>47</v>
      </c>
      <c r="H8" s="23" t="s">
        <v>48</v>
      </c>
      <c r="I8" s="31" t="s">
        <v>25</v>
      </c>
      <c r="J8" s="32" t="str">
        <f>"100 %"</f>
        <v>100 %</v>
      </c>
      <c r="K8" s="23" t="s">
        <v>26</v>
      </c>
      <c r="L8" s="25" t="s">
        <v>49</v>
      </c>
      <c r="M8" s="25" t="s">
        <v>42</v>
      </c>
      <c r="N8" s="23"/>
      <c r="O8" s="24" t="b">
        <v>0</v>
      </c>
      <c r="P8" s="24" t="b">
        <v>1</v>
      </c>
      <c r="Q8" t="str">
        <f t="shared" ref="Q8:Q9" si="0">B8</f>
        <v>SignedCommits</v>
      </c>
      <c r="R8" s="24" t="b">
        <v>0</v>
      </c>
    </row>
    <row r="9" spans="1:18" ht="30.75">
      <c r="A9" s="23"/>
      <c r="B9" s="44" t="s">
        <v>52</v>
      </c>
      <c r="C9" s="23"/>
      <c r="D9" s="23" t="s">
        <v>53</v>
      </c>
      <c r="E9" s="23" t="s">
        <v>37</v>
      </c>
      <c r="F9" s="23"/>
      <c r="G9" s="23" t="s">
        <v>47</v>
      </c>
      <c r="H9" s="23" t="s">
        <v>48</v>
      </c>
      <c r="I9" s="31" t="s">
        <v>25</v>
      </c>
      <c r="J9" s="32" t="str">
        <f>"100 %"</f>
        <v>100 %</v>
      </c>
      <c r="K9" s="23" t="s">
        <v>26</v>
      </c>
      <c r="L9" s="25" t="s">
        <v>49</v>
      </c>
      <c r="M9" s="25" t="s">
        <v>42</v>
      </c>
      <c r="N9" s="23" t="s">
        <v>54</v>
      </c>
      <c r="O9" s="24" t="b">
        <v>0</v>
      </c>
      <c r="P9" s="24" t="b">
        <v>1</v>
      </c>
      <c r="Q9" t="str">
        <f t="shared" si="0"/>
        <v>ApprovedCommitAuthor</v>
      </c>
      <c r="R9" s="24" t="b">
        <v>0</v>
      </c>
    </row>
    <row r="10" spans="1:18">
      <c r="A10" s="23"/>
      <c r="B10" s="23" t="s">
        <v>55</v>
      </c>
      <c r="C10" s="23"/>
      <c r="D10" s="23" t="s">
        <v>56</v>
      </c>
      <c r="E10" s="23" t="s">
        <v>57</v>
      </c>
      <c r="F10" s="23"/>
      <c r="G10" s="23" t="s">
        <v>23</v>
      </c>
      <c r="H10" s="23" t="s">
        <v>24</v>
      </c>
      <c r="I10" s="32" t="s">
        <v>58</v>
      </c>
      <c r="J10" s="32">
        <v>1</v>
      </c>
      <c r="K10" s="23"/>
      <c r="L10" s="23" t="s">
        <v>59</v>
      </c>
      <c r="M10" s="23"/>
      <c r="N10" s="23"/>
      <c r="O10" s="24" t="b">
        <v>0</v>
      </c>
      <c r="P10" s="24" t="b">
        <v>0</v>
      </c>
      <c r="R10" s="24" t="b">
        <v>0</v>
      </c>
    </row>
    <row r="11" spans="1:18">
      <c r="A11" s="23"/>
      <c r="B11" s="23" t="s">
        <v>60</v>
      </c>
      <c r="C11" s="23"/>
      <c r="D11" s="23" t="s">
        <v>56</v>
      </c>
      <c r="E11" s="23" t="s">
        <v>57</v>
      </c>
      <c r="F11" s="23"/>
      <c r="G11" s="23" t="s">
        <v>23</v>
      </c>
      <c r="H11" s="23" t="s">
        <v>24</v>
      </c>
      <c r="I11" s="32" t="s">
        <v>58</v>
      </c>
      <c r="J11" s="32">
        <v>1</v>
      </c>
      <c r="K11" s="23"/>
      <c r="L11" s="23" t="s">
        <v>59</v>
      </c>
      <c r="M11" s="23"/>
      <c r="N11" s="23"/>
      <c r="O11" s="24" t="b">
        <v>0</v>
      </c>
      <c r="P11" s="24" t="b">
        <v>0</v>
      </c>
      <c r="R11" s="24" t="b">
        <v>0</v>
      </c>
    </row>
    <row r="12" spans="1:18" ht="30.75">
      <c r="A12" s="23"/>
      <c r="B12" s="44" t="s">
        <v>61</v>
      </c>
      <c r="C12" s="23"/>
      <c r="D12" s="23" t="s">
        <v>62</v>
      </c>
      <c r="E12" s="25" t="s">
        <v>63</v>
      </c>
      <c r="F12" s="23"/>
      <c r="G12" s="23" t="s">
        <v>47</v>
      </c>
      <c r="H12" s="23" t="s">
        <v>24</v>
      </c>
      <c r="I12" s="32" t="s">
        <v>64</v>
      </c>
      <c r="J12" s="33">
        <v>0.8</v>
      </c>
      <c r="K12" s="23"/>
      <c r="L12" s="25" t="s">
        <v>65</v>
      </c>
      <c r="M12" s="25" t="s">
        <v>66</v>
      </c>
      <c r="N12" s="23"/>
      <c r="O12" s="24" t="b">
        <v>0</v>
      </c>
      <c r="P12" s="24" t="b">
        <v>0</v>
      </c>
      <c r="R12" s="24" t="b">
        <v>0</v>
      </c>
    </row>
    <row r="13" spans="1:18" ht="30.75">
      <c r="A13" s="23"/>
      <c r="B13" s="44" t="s">
        <v>67</v>
      </c>
      <c r="C13" s="23"/>
      <c r="D13" s="23" t="s">
        <v>68</v>
      </c>
      <c r="E13" s="25" t="s">
        <v>63</v>
      </c>
      <c r="F13" s="23"/>
      <c r="G13" s="23" t="s">
        <v>23</v>
      </c>
      <c r="H13" s="23" t="s">
        <v>24</v>
      </c>
      <c r="I13" s="32" t="s">
        <v>58</v>
      </c>
      <c r="J13" s="32">
        <v>2</v>
      </c>
      <c r="K13" s="23"/>
      <c r="L13" s="25" t="s">
        <v>65</v>
      </c>
      <c r="M13" s="25" t="s">
        <v>66</v>
      </c>
      <c r="N13" s="23"/>
      <c r="O13" s="24" t="b">
        <v>0</v>
      </c>
      <c r="P13" s="24" t="b">
        <v>0</v>
      </c>
      <c r="R13" s="24" t="b">
        <v>0</v>
      </c>
    </row>
    <row r="14" spans="1:18" ht="66" customHeight="1">
      <c r="A14" s="23"/>
      <c r="B14" s="23" t="s">
        <v>69</v>
      </c>
      <c r="C14" s="23"/>
      <c r="D14" s="23"/>
      <c r="E14" s="23"/>
      <c r="F14" s="23"/>
      <c r="G14" s="23" t="s">
        <v>70</v>
      </c>
      <c r="H14" s="7" t="s">
        <v>71</v>
      </c>
      <c r="I14" s="32"/>
      <c r="K14" s="23"/>
      <c r="L14" s="23" t="s">
        <v>72</v>
      </c>
      <c r="M14" s="23"/>
      <c r="N14" s="23"/>
      <c r="O14" s="24" t="b">
        <v>0</v>
      </c>
      <c r="P14" s="24" t="b">
        <v>0</v>
      </c>
      <c r="R14" s="24" t="b">
        <v>0</v>
      </c>
    </row>
    <row r="15" spans="1:18" ht="30.75">
      <c r="A15" s="23" t="s">
        <v>73</v>
      </c>
      <c r="B15" s="23" t="s">
        <v>74</v>
      </c>
      <c r="C15" s="23"/>
      <c r="D15" s="23" t="s">
        <v>75</v>
      </c>
      <c r="E15" s="23" t="s">
        <v>76</v>
      </c>
      <c r="F15" s="23"/>
      <c r="G15" s="23" t="s">
        <v>38</v>
      </c>
      <c r="H15" s="23" t="s">
        <v>39</v>
      </c>
      <c r="I15" s="31" t="s">
        <v>25</v>
      </c>
      <c r="J15" s="31" t="s">
        <v>40</v>
      </c>
      <c r="K15" s="23" t="s">
        <v>77</v>
      </c>
      <c r="L15" s="23" t="s">
        <v>78</v>
      </c>
      <c r="M15" s="25" t="s">
        <v>79</v>
      </c>
      <c r="N15" s="23"/>
      <c r="O15" s="24" t="b">
        <v>0</v>
      </c>
      <c r="P15" s="24" t="b">
        <v>1</v>
      </c>
      <c r="Q15" t="s">
        <v>80</v>
      </c>
      <c r="R15" s="24" t="b">
        <v>0</v>
      </c>
    </row>
    <row r="16" spans="1:18" ht="30.75">
      <c r="A16" s="23"/>
      <c r="B16" s="23" t="s">
        <v>81</v>
      </c>
      <c r="C16" s="23"/>
      <c r="D16" s="23" t="s">
        <v>82</v>
      </c>
      <c r="E16" s="23" t="s">
        <v>76</v>
      </c>
      <c r="F16" s="23" t="s">
        <v>83</v>
      </c>
      <c r="G16" s="23" t="s">
        <v>84</v>
      </c>
      <c r="H16" s="23" t="s">
        <v>85</v>
      </c>
      <c r="I16" s="31" t="s">
        <v>25</v>
      </c>
      <c r="J16" s="32">
        <v>7</v>
      </c>
      <c r="K16" s="23" t="s">
        <v>77</v>
      </c>
      <c r="L16" s="23" t="s">
        <v>78</v>
      </c>
      <c r="M16" s="25" t="s">
        <v>79</v>
      </c>
      <c r="N16" s="23"/>
      <c r="O16" s="24" t="b">
        <v>0</v>
      </c>
      <c r="P16" s="24" t="b">
        <v>1</v>
      </c>
      <c r="Q16" t="s">
        <v>86</v>
      </c>
      <c r="R16" s="24" t="b">
        <v>0</v>
      </c>
    </row>
    <row r="17" spans="1:18">
      <c r="A17" s="23"/>
      <c r="B17" s="23" t="s">
        <v>87</v>
      </c>
      <c r="C17" s="23"/>
      <c r="D17" s="23"/>
      <c r="E17" s="23" t="s">
        <v>76</v>
      </c>
      <c r="F17" s="23"/>
      <c r="G17" s="23" t="s">
        <v>38</v>
      </c>
      <c r="H17" s="23" t="s">
        <v>39</v>
      </c>
      <c r="I17" s="32"/>
      <c r="K17" s="23" t="s">
        <v>77</v>
      </c>
      <c r="L17" s="23" t="s">
        <v>78</v>
      </c>
      <c r="M17" s="23"/>
      <c r="N17" s="23"/>
      <c r="O17" s="24" t="b">
        <v>0</v>
      </c>
      <c r="P17" s="24" t="b">
        <v>0</v>
      </c>
      <c r="R17" s="24" t="b">
        <v>0</v>
      </c>
    </row>
    <row r="18" spans="1:18" ht="30.75">
      <c r="A18" s="23"/>
      <c r="B18" s="23" t="s">
        <v>88</v>
      </c>
      <c r="C18" s="23"/>
      <c r="D18" s="23"/>
      <c r="E18" s="23" t="s">
        <v>89</v>
      </c>
      <c r="F18" s="23"/>
      <c r="G18" s="23" t="s">
        <v>38</v>
      </c>
      <c r="H18" s="23" t="s">
        <v>39</v>
      </c>
      <c r="I18" s="32"/>
      <c r="K18" s="23" t="s">
        <v>77</v>
      </c>
      <c r="L18" s="25" t="s">
        <v>90</v>
      </c>
      <c r="M18" s="23"/>
      <c r="N18" s="23"/>
      <c r="O18" s="24" t="b">
        <v>0</v>
      </c>
      <c r="P18" s="24" t="b">
        <v>1</v>
      </c>
      <c r="Q18" t="str">
        <f>B18</f>
        <v>MalwareProtectionEnabled</v>
      </c>
      <c r="R18" s="24" t="b">
        <v>0</v>
      </c>
    </row>
    <row r="19" spans="1:18" ht="30.75">
      <c r="A19" s="23"/>
      <c r="B19" s="23" t="s">
        <v>91</v>
      </c>
      <c r="C19" s="23"/>
      <c r="D19" s="23"/>
      <c r="E19" s="23" t="s">
        <v>89</v>
      </c>
      <c r="F19" s="23"/>
      <c r="G19" s="23" t="s">
        <v>92</v>
      </c>
      <c r="H19" s="23"/>
      <c r="I19" s="32"/>
      <c r="K19" s="23" t="s">
        <v>77</v>
      </c>
      <c r="L19" s="25" t="s">
        <v>90</v>
      </c>
      <c r="M19" s="23"/>
      <c r="N19" s="23"/>
      <c r="O19" s="24" t="b">
        <v>0</v>
      </c>
      <c r="P19" s="24" t="b">
        <v>1</v>
      </c>
      <c r="Q19" t="s">
        <v>93</v>
      </c>
      <c r="R19" s="24" t="b">
        <v>0</v>
      </c>
    </row>
    <row r="20" spans="1:18" ht="30.75">
      <c r="A20" s="23"/>
      <c r="B20" s="23" t="s">
        <v>94</v>
      </c>
      <c r="C20" s="23"/>
      <c r="D20" s="23" t="s">
        <v>95</v>
      </c>
      <c r="E20" s="23" t="s">
        <v>89</v>
      </c>
      <c r="F20" s="23"/>
      <c r="G20" s="23" t="s">
        <v>38</v>
      </c>
      <c r="H20" s="23" t="s">
        <v>39</v>
      </c>
      <c r="I20" s="32"/>
      <c r="K20" s="23" t="s">
        <v>77</v>
      </c>
      <c r="L20" s="25" t="s">
        <v>90</v>
      </c>
      <c r="M20" s="23"/>
      <c r="N20" s="23"/>
      <c r="O20" s="24" t="b">
        <v>0</v>
      </c>
      <c r="P20" s="24" t="b">
        <v>0</v>
      </c>
      <c r="R20" s="24" t="b">
        <v>0</v>
      </c>
    </row>
    <row r="21" spans="1:18" ht="46.5">
      <c r="A21" s="23"/>
      <c r="B21" s="23" t="s">
        <v>96</v>
      </c>
      <c r="C21" s="23"/>
      <c r="D21" s="23" t="s">
        <v>97</v>
      </c>
      <c r="E21" s="23" t="s">
        <v>89</v>
      </c>
      <c r="F21" s="23" t="s">
        <v>98</v>
      </c>
      <c r="G21" s="23" t="s">
        <v>84</v>
      </c>
      <c r="H21" s="23" t="s">
        <v>85</v>
      </c>
      <c r="I21" s="32"/>
      <c r="K21" s="23" t="s">
        <v>77</v>
      </c>
      <c r="L21" s="25" t="s">
        <v>99</v>
      </c>
      <c r="M21" s="23"/>
      <c r="N21" s="23" t="s">
        <v>100</v>
      </c>
      <c r="O21" s="24" t="b">
        <v>0</v>
      </c>
      <c r="P21" s="24" t="b">
        <v>0</v>
      </c>
      <c r="R21" s="24" t="b">
        <v>0</v>
      </c>
    </row>
    <row r="22" spans="1:18">
      <c r="A22" s="23"/>
      <c r="B22" s="23" t="s">
        <v>101</v>
      </c>
      <c r="C22" s="23"/>
      <c r="D22" s="23" t="s">
        <v>102</v>
      </c>
      <c r="E22" s="23" t="s">
        <v>89</v>
      </c>
      <c r="F22" s="23"/>
      <c r="G22" s="23" t="s">
        <v>23</v>
      </c>
      <c r="H22" s="23" t="s">
        <v>85</v>
      </c>
      <c r="I22" s="32"/>
      <c r="K22" s="23" t="s">
        <v>77</v>
      </c>
      <c r="L22" s="23" t="s">
        <v>103</v>
      </c>
      <c r="M22" s="23"/>
      <c r="N22" s="23"/>
      <c r="O22" s="24" t="b">
        <v>0</v>
      </c>
      <c r="P22" s="24" t="b">
        <v>0</v>
      </c>
      <c r="R22" s="24" t="b">
        <v>0</v>
      </c>
    </row>
    <row r="23" spans="1:18">
      <c r="A23" s="23" t="s">
        <v>104</v>
      </c>
      <c r="B23" s="23" t="s">
        <v>105</v>
      </c>
      <c r="C23" s="23"/>
      <c r="D23" s="23"/>
      <c r="E23" s="23" t="s">
        <v>106</v>
      </c>
      <c r="F23" s="23"/>
      <c r="G23" s="23" t="s">
        <v>38</v>
      </c>
      <c r="H23" s="23" t="s">
        <v>39</v>
      </c>
      <c r="I23" s="32"/>
      <c r="K23" s="23" t="s">
        <v>77</v>
      </c>
      <c r="L23" s="23"/>
      <c r="M23" s="23"/>
      <c r="N23" s="23"/>
      <c r="O23" s="24" t="b">
        <v>0</v>
      </c>
      <c r="P23" s="24" t="b">
        <v>1</v>
      </c>
      <c r="Q23" t="str">
        <f>B23</f>
        <v>AdminMFAEnabled</v>
      </c>
      <c r="R23" s="24" t="b">
        <v>0</v>
      </c>
    </row>
    <row r="24" spans="1:18">
      <c r="A24" s="23"/>
      <c r="B24" s="23" t="s">
        <v>107</v>
      </c>
      <c r="C24" s="23"/>
      <c r="D24" s="23" t="s">
        <v>108</v>
      </c>
      <c r="E24" s="23" t="s">
        <v>109</v>
      </c>
      <c r="F24" s="23"/>
      <c r="G24" s="23" t="s">
        <v>38</v>
      </c>
      <c r="H24" s="23" t="s">
        <v>39</v>
      </c>
      <c r="I24" s="32"/>
      <c r="K24" s="23" t="s">
        <v>77</v>
      </c>
      <c r="L24" s="23" t="s">
        <v>110</v>
      </c>
      <c r="M24" s="23"/>
      <c r="N24" s="23"/>
      <c r="O24" s="24" t="b">
        <v>0</v>
      </c>
      <c r="P24" s="24" t="b">
        <v>1</v>
      </c>
      <c r="Q24" t="str">
        <f>B24</f>
        <v>IdentityPasswordPolicyEnabled</v>
      </c>
      <c r="R24" s="24" t="b">
        <v>0</v>
      </c>
    </row>
    <row r="25" spans="1:18">
      <c r="A25" s="23"/>
      <c r="B25" s="23" t="s">
        <v>111</v>
      </c>
      <c r="C25" s="23"/>
      <c r="D25" s="23" t="s">
        <v>112</v>
      </c>
      <c r="E25" s="23" t="s">
        <v>109</v>
      </c>
      <c r="F25" s="23" t="s">
        <v>98</v>
      </c>
      <c r="G25" s="23" t="s">
        <v>84</v>
      </c>
      <c r="H25" s="23" t="s">
        <v>85</v>
      </c>
      <c r="I25" s="32"/>
      <c r="J25" s="32" t="str">
        <f>"&lt; 90d"</f>
        <v>&lt; 90d</v>
      </c>
      <c r="K25" s="23" t="s">
        <v>77</v>
      </c>
      <c r="L25" s="23" t="s">
        <v>113</v>
      </c>
      <c r="M25" s="23"/>
      <c r="N25" s="23"/>
      <c r="O25" s="24" t="b">
        <v>0</v>
      </c>
      <c r="P25" s="24" t="b">
        <v>0</v>
      </c>
      <c r="R25" s="24" t="b">
        <v>0</v>
      </c>
    </row>
    <row r="26" spans="1:18">
      <c r="A26" s="23"/>
      <c r="B26" s="23" t="s">
        <v>114</v>
      </c>
      <c r="C26" s="23"/>
      <c r="D26" s="23"/>
      <c r="E26" s="23" t="s">
        <v>115</v>
      </c>
      <c r="F26" s="23"/>
      <c r="G26" s="23" t="s">
        <v>38</v>
      </c>
      <c r="H26" s="23" t="s">
        <v>39</v>
      </c>
      <c r="I26" s="32"/>
      <c r="K26" s="23" t="s">
        <v>77</v>
      </c>
      <c r="L26" s="23"/>
      <c r="M26" s="23"/>
      <c r="N26" s="23"/>
      <c r="O26" s="24" t="b">
        <v>0</v>
      </c>
      <c r="P26" s="24" t="b">
        <v>1</v>
      </c>
      <c r="Q26" t="str">
        <f>B26</f>
        <v>ObjectStoragePublicAccessDisabled</v>
      </c>
      <c r="R26" s="24" t="b">
        <v>0</v>
      </c>
    </row>
    <row r="27" spans="1:18">
      <c r="A27" s="23"/>
      <c r="B27" s="23" t="s">
        <v>116</v>
      </c>
      <c r="C27" s="23"/>
      <c r="D27" s="23"/>
      <c r="E27" s="23"/>
      <c r="F27" s="23"/>
      <c r="G27" s="23" t="s">
        <v>38</v>
      </c>
      <c r="H27" s="23" t="s">
        <v>39</v>
      </c>
      <c r="I27" s="32"/>
      <c r="K27" s="23" t="s">
        <v>77</v>
      </c>
      <c r="L27" s="23" t="s">
        <v>117</v>
      </c>
      <c r="M27" s="23"/>
      <c r="N27" s="23"/>
      <c r="O27" s="24" t="b">
        <v>0</v>
      </c>
      <c r="P27" s="24" t="b">
        <v>0</v>
      </c>
      <c r="R27" s="24" t="b">
        <v>0</v>
      </c>
    </row>
    <row r="28" spans="1:18" ht="30.75">
      <c r="A28" s="23"/>
      <c r="B28" s="23" t="s">
        <v>118</v>
      </c>
      <c r="C28" s="23"/>
      <c r="D28" s="23"/>
      <c r="E28" s="23"/>
      <c r="F28" s="23"/>
      <c r="G28" s="23" t="s">
        <v>119</v>
      </c>
      <c r="H28" s="23" t="s">
        <v>39</v>
      </c>
      <c r="I28" s="32"/>
      <c r="K28" s="23" t="s">
        <v>77</v>
      </c>
      <c r="L28" s="25" t="s">
        <v>120</v>
      </c>
      <c r="M28" s="23"/>
      <c r="N28" s="23"/>
      <c r="O28" s="24" t="b">
        <v>0</v>
      </c>
      <c r="P28" s="24" t="b">
        <v>0</v>
      </c>
      <c r="R28" s="24" t="b">
        <v>0</v>
      </c>
    </row>
    <row r="29" spans="1:18" ht="77.25">
      <c r="A29" s="23"/>
      <c r="B29" s="23" t="s">
        <v>121</v>
      </c>
      <c r="C29" s="23"/>
      <c r="D29" s="23" t="s">
        <v>122</v>
      </c>
      <c r="E29" s="23"/>
      <c r="F29" s="23"/>
      <c r="G29" s="23" t="s">
        <v>123</v>
      </c>
      <c r="H29" s="34" t="s">
        <v>124</v>
      </c>
      <c r="I29" s="32"/>
      <c r="K29" s="23" t="s">
        <v>77</v>
      </c>
      <c r="L29" s="23" t="s">
        <v>125</v>
      </c>
      <c r="M29" s="23"/>
      <c r="N29" s="25" t="s">
        <v>126</v>
      </c>
      <c r="O29" s="24" t="b">
        <v>0</v>
      </c>
      <c r="P29" s="24" t="b">
        <v>0</v>
      </c>
      <c r="R29" s="24" t="b">
        <v>0</v>
      </c>
    </row>
    <row r="30" spans="1:18">
      <c r="A30" s="23"/>
      <c r="B30" s="23" t="s">
        <v>127</v>
      </c>
      <c r="C30" s="23"/>
      <c r="D30" s="23"/>
      <c r="E30" s="23"/>
      <c r="F30" s="23"/>
      <c r="G30" s="23" t="s">
        <v>128</v>
      </c>
      <c r="H30" s="23"/>
      <c r="I30" s="32"/>
      <c r="K30" s="23" t="s">
        <v>77</v>
      </c>
      <c r="L30" s="23" t="s">
        <v>113</v>
      </c>
      <c r="M30" s="23"/>
      <c r="N30" s="23"/>
      <c r="O30" s="24" t="b">
        <v>0</v>
      </c>
      <c r="P30" s="24" t="b">
        <v>0</v>
      </c>
      <c r="R30" s="24" t="b">
        <v>0</v>
      </c>
    </row>
    <row r="31" spans="1:18" ht="66" customHeight="1">
      <c r="A31" s="23"/>
      <c r="B31" s="23" t="s">
        <v>129</v>
      </c>
      <c r="C31" s="23"/>
      <c r="D31" s="23" t="s">
        <v>130</v>
      </c>
      <c r="E31" s="25" t="s">
        <v>131</v>
      </c>
      <c r="F31" s="23"/>
      <c r="G31" s="23" t="s">
        <v>23</v>
      </c>
      <c r="H31" s="23" t="s">
        <v>85</v>
      </c>
      <c r="I31" s="32" t="s">
        <v>58</v>
      </c>
      <c r="J31" s="32">
        <v>8</v>
      </c>
      <c r="K31" s="23" t="s">
        <v>77</v>
      </c>
      <c r="L31" s="23" t="s">
        <v>132</v>
      </c>
      <c r="M31" s="25" t="s">
        <v>133</v>
      </c>
      <c r="N31" s="23" t="s">
        <v>134</v>
      </c>
      <c r="O31" s="24" t="b">
        <v>0</v>
      </c>
      <c r="P31" s="24" t="b">
        <v>0</v>
      </c>
      <c r="R31" s="24" t="b">
        <v>0</v>
      </c>
    </row>
    <row r="32" spans="1:18" ht="67.5" customHeight="1">
      <c r="A32" s="23"/>
      <c r="B32" s="23" t="s">
        <v>135</v>
      </c>
      <c r="C32" s="23"/>
      <c r="D32" s="23" t="s">
        <v>136</v>
      </c>
      <c r="E32" s="25" t="s">
        <v>131</v>
      </c>
      <c r="F32" s="23" t="s">
        <v>83</v>
      </c>
      <c r="G32" s="23" t="s">
        <v>84</v>
      </c>
      <c r="H32" s="23" t="s">
        <v>85</v>
      </c>
      <c r="I32" s="32" t="s">
        <v>137</v>
      </c>
      <c r="J32" s="32">
        <v>90</v>
      </c>
      <c r="K32" s="23" t="s">
        <v>77</v>
      </c>
      <c r="L32" s="23" t="s">
        <v>132</v>
      </c>
      <c r="M32" s="25" t="s">
        <v>133</v>
      </c>
      <c r="N32" s="23" t="s">
        <v>138</v>
      </c>
      <c r="O32" s="24" t="b">
        <v>0</v>
      </c>
      <c r="P32" s="24" t="b">
        <v>0</v>
      </c>
      <c r="R32" s="24" t="b">
        <v>0</v>
      </c>
    </row>
    <row r="33" spans="1:18" ht="67.5" customHeight="1">
      <c r="A33" s="23"/>
      <c r="B33" s="23" t="s">
        <v>139</v>
      </c>
      <c r="C33" s="23"/>
      <c r="D33" s="23" t="s">
        <v>140</v>
      </c>
      <c r="E33" s="25" t="s">
        <v>131</v>
      </c>
      <c r="F33" s="23"/>
      <c r="G33" s="23" t="s">
        <v>38</v>
      </c>
      <c r="H33" s="23" t="s">
        <v>39</v>
      </c>
      <c r="I33" s="31" t="s">
        <v>25</v>
      </c>
      <c r="J33" s="31" t="s">
        <v>40</v>
      </c>
      <c r="K33" s="23" t="s">
        <v>77</v>
      </c>
      <c r="L33" s="25" t="s">
        <v>141</v>
      </c>
      <c r="M33" s="25" t="s">
        <v>133</v>
      </c>
      <c r="N33" s="23"/>
      <c r="O33" s="24" t="b">
        <v>0</v>
      </c>
      <c r="P33" s="24" t="b">
        <v>0</v>
      </c>
      <c r="R33" s="24" t="b">
        <v>0</v>
      </c>
    </row>
    <row r="34" spans="1:18" ht="67.5" customHeight="1">
      <c r="A34" s="23"/>
      <c r="B34" s="23" t="s">
        <v>142</v>
      </c>
      <c r="C34" s="23"/>
      <c r="D34" s="23" t="s">
        <v>143</v>
      </c>
      <c r="E34" s="25" t="s">
        <v>131</v>
      </c>
      <c r="F34" s="23"/>
      <c r="G34" s="23" t="s">
        <v>38</v>
      </c>
      <c r="H34" s="23" t="s">
        <v>39</v>
      </c>
      <c r="I34" s="31" t="s">
        <v>25</v>
      </c>
      <c r="J34" s="31" t="s">
        <v>40</v>
      </c>
      <c r="K34" s="23" t="s">
        <v>77</v>
      </c>
      <c r="L34" s="25" t="s">
        <v>141</v>
      </c>
      <c r="M34" s="25" t="s">
        <v>133</v>
      </c>
      <c r="N34" s="23"/>
      <c r="O34" s="24" t="b">
        <v>0</v>
      </c>
      <c r="P34" s="24" t="b">
        <v>0</v>
      </c>
      <c r="R34" s="24" t="b">
        <v>0</v>
      </c>
    </row>
    <row r="35" spans="1:18" ht="67.5" customHeight="1">
      <c r="A35" s="23"/>
      <c r="B35" s="26" t="s">
        <v>144</v>
      </c>
      <c r="C35" s="23"/>
      <c r="D35" s="23" t="s">
        <v>145</v>
      </c>
      <c r="E35" s="25" t="s">
        <v>131</v>
      </c>
      <c r="F35" s="23"/>
      <c r="G35" s="23" t="s">
        <v>23</v>
      </c>
      <c r="H35" s="23" t="s">
        <v>85</v>
      </c>
      <c r="I35" s="31" t="s">
        <v>25</v>
      </c>
      <c r="J35" s="32">
        <v>12</v>
      </c>
      <c r="K35" s="23"/>
      <c r="L35" s="35" t="s">
        <v>146</v>
      </c>
      <c r="M35" s="25" t="s">
        <v>133</v>
      </c>
      <c r="N35" s="23"/>
      <c r="O35" s="24" t="b">
        <v>0</v>
      </c>
      <c r="P35" s="24" t="b">
        <v>0</v>
      </c>
      <c r="R35" s="24" t="b">
        <v>0</v>
      </c>
    </row>
    <row r="36" spans="1:18" ht="67.5" customHeight="1">
      <c r="A36" s="23"/>
      <c r="B36" s="26" t="s">
        <v>147</v>
      </c>
      <c r="C36" s="23"/>
      <c r="D36" s="23" t="s">
        <v>148</v>
      </c>
      <c r="E36" s="25" t="s">
        <v>131</v>
      </c>
      <c r="F36" s="23"/>
      <c r="G36" s="23" t="s">
        <v>23</v>
      </c>
      <c r="H36" s="23" t="s">
        <v>85</v>
      </c>
      <c r="I36" s="31" t="s">
        <v>25</v>
      </c>
      <c r="J36" s="32">
        <v>5</v>
      </c>
      <c r="K36" s="23"/>
      <c r="L36" s="25" t="s">
        <v>149</v>
      </c>
      <c r="M36" s="25" t="s">
        <v>133</v>
      </c>
      <c r="N36" s="23"/>
      <c r="O36" s="24" t="b">
        <v>0</v>
      </c>
      <c r="P36" s="24" t="b">
        <v>0</v>
      </c>
      <c r="R36" s="24" t="b">
        <v>0</v>
      </c>
    </row>
    <row r="37" spans="1:18" ht="67.5" customHeight="1">
      <c r="A37" s="23"/>
      <c r="B37" s="26" t="s">
        <v>150</v>
      </c>
      <c r="C37" s="23"/>
      <c r="D37" s="23" t="s">
        <v>151</v>
      </c>
      <c r="E37" s="25" t="s">
        <v>131</v>
      </c>
      <c r="F37" s="23" t="s">
        <v>152</v>
      </c>
      <c r="G37" s="23" t="s">
        <v>84</v>
      </c>
      <c r="H37" s="23" t="s">
        <v>85</v>
      </c>
      <c r="I37" s="32" t="s">
        <v>58</v>
      </c>
      <c r="J37" s="32">
        <v>15</v>
      </c>
      <c r="K37" s="23"/>
      <c r="L37" s="25" t="s">
        <v>153</v>
      </c>
      <c r="M37" s="25" t="s">
        <v>133</v>
      </c>
      <c r="N37" s="23"/>
      <c r="O37" s="24" t="b">
        <v>0</v>
      </c>
      <c r="P37" s="24" t="b">
        <v>0</v>
      </c>
      <c r="R37" s="24" t="b">
        <v>0</v>
      </c>
    </row>
    <row r="38" spans="1:18" ht="15.75" customHeight="1">
      <c r="A38" s="23"/>
      <c r="B38" s="23" t="s">
        <v>154</v>
      </c>
      <c r="C38" s="23"/>
      <c r="D38" s="23" t="s">
        <v>155</v>
      </c>
      <c r="E38" s="23"/>
      <c r="F38" s="23"/>
      <c r="G38" s="23" t="s">
        <v>38</v>
      </c>
      <c r="H38" s="23" t="s">
        <v>39</v>
      </c>
      <c r="I38" s="32"/>
      <c r="K38" s="23" t="s">
        <v>77</v>
      </c>
      <c r="L38" s="23" t="s">
        <v>110</v>
      </c>
      <c r="M38" s="23"/>
      <c r="N38" s="23"/>
      <c r="O38" s="24" t="b">
        <v>0</v>
      </c>
      <c r="P38" s="24" t="b">
        <v>0</v>
      </c>
      <c r="R38" s="24" t="b">
        <v>0</v>
      </c>
    </row>
    <row r="39" spans="1:18">
      <c r="A39" s="23"/>
      <c r="B39" s="23" t="s">
        <v>156</v>
      </c>
      <c r="C39" s="23"/>
      <c r="D39" s="23" t="s">
        <v>157</v>
      </c>
      <c r="E39" s="23"/>
      <c r="F39" s="23"/>
      <c r="G39" s="23" t="s">
        <v>38</v>
      </c>
      <c r="H39" s="23" t="s">
        <v>39</v>
      </c>
      <c r="I39" s="32"/>
      <c r="K39" s="23" t="s">
        <v>77</v>
      </c>
      <c r="L39" s="23" t="s">
        <v>110</v>
      </c>
      <c r="M39" s="23"/>
      <c r="N39" s="23"/>
      <c r="O39" s="24" t="b">
        <v>0</v>
      </c>
      <c r="P39" s="24" t="b">
        <v>0</v>
      </c>
      <c r="R39" s="24" t="b">
        <v>0</v>
      </c>
    </row>
    <row r="40" spans="1:18">
      <c r="A40" s="23" t="s">
        <v>158</v>
      </c>
      <c r="B40" s="23" t="s">
        <v>159</v>
      </c>
      <c r="C40" s="23"/>
      <c r="D40" s="23"/>
      <c r="E40" s="23"/>
      <c r="F40" s="23"/>
      <c r="G40" s="23"/>
      <c r="H40" s="23"/>
      <c r="I40" s="32"/>
      <c r="K40" s="23" t="s">
        <v>77</v>
      </c>
      <c r="L40" s="23"/>
      <c r="M40" s="23"/>
      <c r="N40" s="23"/>
      <c r="O40" s="24" t="b">
        <v>0</v>
      </c>
      <c r="P40" s="24" t="b">
        <v>0</v>
      </c>
      <c r="R40" s="24" t="b">
        <v>0</v>
      </c>
    </row>
    <row r="41" spans="1:18" ht="30.75">
      <c r="A41" s="23" t="s">
        <v>160</v>
      </c>
      <c r="B41" s="23" t="s">
        <v>161</v>
      </c>
      <c r="C41" s="23"/>
      <c r="D41" s="23"/>
      <c r="E41" s="23" t="s">
        <v>162</v>
      </c>
      <c r="F41" s="23"/>
      <c r="G41" s="23" t="s">
        <v>38</v>
      </c>
      <c r="H41" s="23" t="s">
        <v>39</v>
      </c>
      <c r="I41" s="32"/>
      <c r="K41" s="23" t="s">
        <v>77</v>
      </c>
      <c r="L41" s="25" t="s">
        <v>163</v>
      </c>
      <c r="M41" s="23"/>
      <c r="N41" s="27" t="s">
        <v>164</v>
      </c>
      <c r="O41" s="24" t="b">
        <v>0</v>
      </c>
      <c r="P41" s="24" t="b">
        <v>1</v>
      </c>
      <c r="Q41" t="str">
        <f>B41</f>
        <v>AnomalyDetectionEnabled</v>
      </c>
      <c r="R41" s="24" t="b">
        <v>0</v>
      </c>
    </row>
    <row r="42" spans="1:18">
      <c r="A42" s="23"/>
      <c r="B42" s="23" t="s">
        <v>165</v>
      </c>
      <c r="C42" s="23"/>
      <c r="D42" s="23"/>
      <c r="E42" s="23" t="s">
        <v>162</v>
      </c>
      <c r="F42" s="23"/>
      <c r="G42" s="23" t="s">
        <v>38</v>
      </c>
      <c r="H42" s="23" t="s">
        <v>39</v>
      </c>
      <c r="I42" s="32"/>
      <c r="K42" s="23" t="s">
        <v>77</v>
      </c>
      <c r="L42" s="25"/>
      <c r="M42" s="23"/>
      <c r="N42" s="27"/>
      <c r="O42" s="24" t="b">
        <v>0</v>
      </c>
      <c r="P42" s="24" t="b">
        <v>1</v>
      </c>
      <c r="Q42" t="str">
        <f>B42</f>
        <v>AnomalyDetectionOutput</v>
      </c>
      <c r="R42" s="24" t="b">
        <v>0</v>
      </c>
    </row>
    <row r="43" spans="1:18">
      <c r="A43" s="23"/>
      <c r="B43" s="23" t="s">
        <v>166</v>
      </c>
      <c r="C43" s="23"/>
      <c r="D43" s="23"/>
      <c r="E43" s="23"/>
      <c r="F43" s="23"/>
      <c r="G43" s="23" t="s">
        <v>38</v>
      </c>
      <c r="H43" s="23" t="s">
        <v>39</v>
      </c>
      <c r="I43" s="32"/>
      <c r="K43" s="23" t="s">
        <v>77</v>
      </c>
      <c r="L43" s="23" t="s">
        <v>167</v>
      </c>
      <c r="M43" s="23"/>
      <c r="N43" s="23"/>
      <c r="O43" s="24" t="b">
        <v>0</v>
      </c>
      <c r="P43" s="24" t="b">
        <v>1</v>
      </c>
      <c r="Q43" t="str">
        <f>B43</f>
        <v>BootLoogingEnabled</v>
      </c>
      <c r="R43" s="24" t="b">
        <v>0</v>
      </c>
    </row>
    <row r="44" spans="1:18">
      <c r="A44" s="23"/>
      <c r="B44" s="23" t="s">
        <v>168</v>
      </c>
      <c r="C44" s="23"/>
      <c r="D44" s="23"/>
      <c r="E44" s="23"/>
      <c r="F44" s="23"/>
      <c r="G44" s="23" t="s">
        <v>38</v>
      </c>
      <c r="H44" s="23" t="s">
        <v>39</v>
      </c>
      <c r="I44" s="32"/>
      <c r="K44" s="23" t="s">
        <v>77</v>
      </c>
      <c r="L44" s="23" t="s">
        <v>167</v>
      </c>
      <c r="M44" s="23"/>
      <c r="N44" s="23"/>
      <c r="O44" s="24" t="b">
        <v>0</v>
      </c>
      <c r="P44" s="24" t="b">
        <v>1</v>
      </c>
      <c r="Q44" t="str">
        <f>B44</f>
        <v>OSLoggingEnabled</v>
      </c>
      <c r="R44" s="24" t="b">
        <v>0</v>
      </c>
    </row>
    <row r="45" spans="1:18" ht="46.5">
      <c r="A45" s="23"/>
      <c r="B45" s="23" t="s">
        <v>169</v>
      </c>
      <c r="C45" s="23"/>
      <c r="D45" s="23" t="s">
        <v>170</v>
      </c>
      <c r="E45" s="23" t="s">
        <v>171</v>
      </c>
      <c r="F45" s="23"/>
      <c r="G45" s="23" t="s">
        <v>84</v>
      </c>
      <c r="H45" s="23"/>
      <c r="I45" s="32"/>
      <c r="K45" s="23" t="s">
        <v>77</v>
      </c>
      <c r="L45" s="25" t="s">
        <v>172</v>
      </c>
      <c r="M45" s="23"/>
      <c r="N45" s="23"/>
      <c r="O45" s="24" t="b">
        <v>0</v>
      </c>
      <c r="P45" s="24" t="b">
        <v>1</v>
      </c>
      <c r="Q45" t="str">
        <f t="shared" ref="Q45:Q48" si="1">B45</f>
        <v>BootLoggingRetention</v>
      </c>
      <c r="R45" s="24" t="b">
        <v>0</v>
      </c>
    </row>
    <row r="46" spans="1:18" ht="46.5">
      <c r="A46" s="23"/>
      <c r="B46" s="23" t="s">
        <v>173</v>
      </c>
      <c r="C46" s="23"/>
      <c r="D46" s="23" t="s">
        <v>170</v>
      </c>
      <c r="E46" s="23" t="s">
        <v>171</v>
      </c>
      <c r="F46" s="23"/>
      <c r="G46" s="23" t="s">
        <v>84</v>
      </c>
      <c r="H46" s="23"/>
      <c r="I46" s="32"/>
      <c r="K46" s="23" t="s">
        <v>77</v>
      </c>
      <c r="L46" s="25" t="s">
        <v>172</v>
      </c>
      <c r="M46" s="23"/>
      <c r="N46" s="23"/>
      <c r="O46" s="24" t="b">
        <v>0</v>
      </c>
      <c r="P46" s="24" t="b">
        <v>1</v>
      </c>
      <c r="Q46" t="str">
        <f t="shared" si="1"/>
        <v>OSLoggingRetention</v>
      </c>
      <c r="R46" s="24" t="b">
        <v>0</v>
      </c>
    </row>
    <row r="47" spans="1:18">
      <c r="A47" s="23"/>
      <c r="B47" s="23" t="s">
        <v>174</v>
      </c>
      <c r="C47" s="23"/>
      <c r="D47" s="23"/>
      <c r="E47" s="23"/>
      <c r="F47" s="23"/>
      <c r="G47" s="23"/>
      <c r="H47" s="23"/>
      <c r="I47" s="32"/>
      <c r="K47" s="23"/>
      <c r="L47" s="25"/>
      <c r="M47" s="23"/>
      <c r="N47" s="23"/>
      <c r="O47" s="24" t="b">
        <v>0</v>
      </c>
      <c r="P47" s="24" t="b">
        <v>1</v>
      </c>
      <c r="Q47" t="str">
        <f t="shared" ref="Q47" si="2">B47</f>
        <v>BootLoggingOutput</v>
      </c>
      <c r="R47" s="24" t="b">
        <v>0</v>
      </c>
    </row>
    <row r="48" spans="1:18">
      <c r="A48" s="23"/>
      <c r="B48" s="23" t="s">
        <v>175</v>
      </c>
      <c r="C48" s="23"/>
      <c r="D48" s="23"/>
      <c r="E48" s="23"/>
      <c r="F48" s="23"/>
      <c r="G48" s="23"/>
      <c r="H48" s="23"/>
      <c r="I48" s="32"/>
      <c r="K48" s="23"/>
      <c r="L48" s="25"/>
      <c r="M48" s="23"/>
      <c r="N48" s="23"/>
      <c r="O48" s="24" t="b">
        <v>0</v>
      </c>
      <c r="P48" s="24" t="b">
        <v>1</v>
      </c>
      <c r="Q48" t="str">
        <f t="shared" si="1"/>
        <v>OSLoggingOutput</v>
      </c>
      <c r="R48" s="24" t="b">
        <v>0</v>
      </c>
    </row>
    <row r="49" spans="1:18" ht="46.5">
      <c r="A49" s="23"/>
      <c r="B49" s="23" t="s">
        <v>176</v>
      </c>
      <c r="C49" s="23"/>
      <c r="D49" s="23" t="s">
        <v>177</v>
      </c>
      <c r="E49" s="23" t="s">
        <v>171</v>
      </c>
      <c r="F49" s="23"/>
      <c r="G49" s="23" t="s">
        <v>38</v>
      </c>
      <c r="H49" s="23" t="s">
        <v>39</v>
      </c>
      <c r="I49" s="32"/>
      <c r="K49" s="23" t="s">
        <v>77</v>
      </c>
      <c r="L49" s="25" t="s">
        <v>172</v>
      </c>
      <c r="M49" s="23"/>
      <c r="N49" s="23"/>
      <c r="O49" s="24" t="b">
        <v>0</v>
      </c>
      <c r="P49" s="24" t="b">
        <v>0</v>
      </c>
      <c r="R49" s="24" t="b">
        <v>0</v>
      </c>
    </row>
    <row r="50" spans="1:18" ht="30.75">
      <c r="A50" s="23"/>
      <c r="B50" s="23" t="s">
        <v>178</v>
      </c>
      <c r="C50" s="23"/>
      <c r="D50" s="23" t="s">
        <v>179</v>
      </c>
      <c r="E50" s="23" t="s">
        <v>180</v>
      </c>
      <c r="F50" s="23"/>
      <c r="G50" s="23" t="s">
        <v>38</v>
      </c>
      <c r="H50" s="23" t="s">
        <v>39</v>
      </c>
      <c r="I50" s="32"/>
      <c r="K50" s="23" t="s">
        <v>77</v>
      </c>
      <c r="L50" s="25" t="s">
        <v>181</v>
      </c>
      <c r="M50" s="23"/>
      <c r="N50" s="23"/>
      <c r="O50" s="24" t="b">
        <v>0</v>
      </c>
      <c r="P50" s="24" t="b">
        <v>0</v>
      </c>
      <c r="R50" s="24" t="b">
        <v>0</v>
      </c>
    </row>
    <row r="51" spans="1:18" ht="30.75">
      <c r="A51" s="23"/>
      <c r="B51" s="23" t="s">
        <v>182</v>
      </c>
      <c r="C51" s="23"/>
      <c r="D51" s="23" t="s">
        <v>183</v>
      </c>
      <c r="E51" s="23" t="s">
        <v>184</v>
      </c>
      <c r="F51" s="23"/>
      <c r="G51" s="23" t="s">
        <v>38</v>
      </c>
      <c r="H51" s="23" t="s">
        <v>39</v>
      </c>
      <c r="I51" s="32"/>
      <c r="K51" s="23" t="s">
        <v>77</v>
      </c>
      <c r="L51" s="25" t="s">
        <v>181</v>
      </c>
      <c r="M51" s="23"/>
      <c r="N51" s="23"/>
      <c r="O51" s="24" t="b">
        <v>0</v>
      </c>
      <c r="P51" s="24" t="b">
        <v>0</v>
      </c>
      <c r="R51" s="24" t="b">
        <v>0</v>
      </c>
    </row>
    <row r="52" spans="1:18">
      <c r="A52" s="23"/>
      <c r="B52" s="23" t="s">
        <v>185</v>
      </c>
      <c r="C52" s="23"/>
      <c r="D52" s="23" t="s">
        <v>186</v>
      </c>
      <c r="E52" s="23" t="s">
        <v>187</v>
      </c>
      <c r="F52" s="23"/>
      <c r="G52" s="23" t="s">
        <v>38</v>
      </c>
      <c r="H52" s="23" t="s">
        <v>39</v>
      </c>
      <c r="I52" s="32"/>
      <c r="K52" s="23" t="s">
        <v>77</v>
      </c>
      <c r="L52" s="23" t="s">
        <v>188</v>
      </c>
      <c r="M52" s="23"/>
      <c r="N52" s="23"/>
      <c r="O52" s="24" t="b">
        <v>0</v>
      </c>
      <c r="P52" s="24" t="b">
        <v>0</v>
      </c>
      <c r="R52" s="24" t="b">
        <v>0</v>
      </c>
    </row>
    <row r="53" spans="1:18">
      <c r="A53" s="23"/>
      <c r="B53" s="23" t="s">
        <v>189</v>
      </c>
      <c r="C53" s="23"/>
      <c r="D53" s="23" t="s">
        <v>190</v>
      </c>
      <c r="E53" s="23" t="s">
        <v>180</v>
      </c>
      <c r="F53" s="23"/>
      <c r="G53" s="23" t="s">
        <v>38</v>
      </c>
      <c r="H53" s="23" t="s">
        <v>39</v>
      </c>
      <c r="I53" s="32"/>
      <c r="K53" s="23" t="s">
        <v>77</v>
      </c>
      <c r="L53" s="23"/>
      <c r="M53" s="23"/>
      <c r="N53" s="23"/>
      <c r="O53" s="24" t="b">
        <v>0</v>
      </c>
      <c r="P53" s="24" t="b">
        <v>0</v>
      </c>
      <c r="R53" s="24" t="b">
        <v>0</v>
      </c>
    </row>
    <row r="54" spans="1:18">
      <c r="A54" s="23"/>
      <c r="B54" s="23" t="s">
        <v>191</v>
      </c>
      <c r="C54" s="23"/>
      <c r="D54" s="23"/>
      <c r="E54" s="23"/>
      <c r="F54" s="23"/>
      <c r="G54" s="23" t="s">
        <v>38</v>
      </c>
      <c r="H54" s="23" t="s">
        <v>39</v>
      </c>
      <c r="I54" s="32"/>
      <c r="K54" s="23" t="s">
        <v>77</v>
      </c>
      <c r="L54" s="23" t="s">
        <v>192</v>
      </c>
      <c r="M54" s="23"/>
      <c r="N54" s="23"/>
      <c r="O54" s="24" t="b">
        <v>0</v>
      </c>
      <c r="P54" s="24" t="b">
        <v>1</v>
      </c>
      <c r="Q54" t="str">
        <f>B54</f>
        <v>ActivityLoggingEnabled?</v>
      </c>
      <c r="R54" s="24" t="b">
        <v>0</v>
      </c>
    </row>
    <row r="55" spans="1:18">
      <c r="A55" s="23" t="s">
        <v>193</v>
      </c>
      <c r="B55" s="23" t="s">
        <v>194</v>
      </c>
      <c r="C55" s="23"/>
      <c r="D55" s="23"/>
      <c r="E55" s="23"/>
      <c r="F55" s="23"/>
      <c r="G55" s="23" t="s">
        <v>195</v>
      </c>
      <c r="H55" s="23"/>
      <c r="I55" s="32"/>
      <c r="K55" s="23" t="s">
        <v>77</v>
      </c>
      <c r="L55" s="23" t="s">
        <v>196</v>
      </c>
      <c r="M55" s="23" t="s">
        <v>197</v>
      </c>
      <c r="N55" s="23"/>
      <c r="O55" s="24" t="b">
        <v>0</v>
      </c>
      <c r="P55" s="24" t="b">
        <v>0</v>
      </c>
      <c r="R55" s="24" t="b">
        <v>0</v>
      </c>
    </row>
    <row r="56" spans="1:18">
      <c r="A56" s="23"/>
      <c r="B56" s="23" t="s">
        <v>198</v>
      </c>
      <c r="C56" s="23"/>
      <c r="D56" s="23"/>
      <c r="E56" s="23"/>
      <c r="F56" s="23"/>
      <c r="G56" s="23" t="s">
        <v>199</v>
      </c>
      <c r="H56" s="23"/>
      <c r="I56" s="32"/>
      <c r="K56" s="23" t="s">
        <v>77</v>
      </c>
      <c r="L56" s="23" t="s">
        <v>196</v>
      </c>
      <c r="M56" s="23"/>
      <c r="N56" s="23"/>
      <c r="O56" s="24" t="b">
        <v>0</v>
      </c>
      <c r="P56" s="24" t="b">
        <v>0</v>
      </c>
      <c r="R56" s="24" t="b">
        <v>0</v>
      </c>
    </row>
    <row r="57" spans="1:18">
      <c r="A57" s="23"/>
      <c r="B57" s="23" t="s">
        <v>200</v>
      </c>
      <c r="C57" s="23"/>
      <c r="D57" s="23"/>
      <c r="E57" s="23"/>
      <c r="F57" s="23" t="s">
        <v>98</v>
      </c>
      <c r="G57" s="23" t="s">
        <v>84</v>
      </c>
      <c r="H57" s="23" t="s">
        <v>85</v>
      </c>
      <c r="I57" s="32"/>
      <c r="K57" s="23" t="s">
        <v>77</v>
      </c>
      <c r="L57" s="23" t="s">
        <v>196</v>
      </c>
      <c r="M57" s="23"/>
      <c r="N57" s="23"/>
      <c r="O57" s="24" t="b">
        <v>0</v>
      </c>
      <c r="P57" s="24" t="b">
        <v>0</v>
      </c>
      <c r="R57" s="24" t="b">
        <v>0</v>
      </c>
    </row>
    <row r="58" spans="1:18">
      <c r="A58" s="23" t="s">
        <v>201</v>
      </c>
      <c r="B58" s="44" t="s">
        <v>202</v>
      </c>
      <c r="C58" s="23"/>
      <c r="D58" s="23" t="s">
        <v>203</v>
      </c>
      <c r="E58" s="23" t="s">
        <v>204</v>
      </c>
      <c r="F58" s="23"/>
      <c r="G58" s="23" t="s">
        <v>92</v>
      </c>
      <c r="H58" s="23" t="s">
        <v>205</v>
      </c>
      <c r="I58" s="32" t="s">
        <v>206</v>
      </c>
      <c r="J58" s="23" t="s">
        <v>207</v>
      </c>
      <c r="K58" s="23" t="s">
        <v>77</v>
      </c>
      <c r="L58" s="23" t="s">
        <v>208</v>
      </c>
      <c r="M58" s="23" t="s">
        <v>209</v>
      </c>
      <c r="N58" s="23" t="s">
        <v>210</v>
      </c>
      <c r="O58" s="24" t="b">
        <v>1</v>
      </c>
      <c r="P58" s="24" t="b">
        <v>1</v>
      </c>
      <c r="Q58" t="s">
        <v>211</v>
      </c>
      <c r="R58" s="24" t="b">
        <v>1</v>
      </c>
    </row>
    <row r="59" spans="1:18" ht="409.6">
      <c r="A59" s="23"/>
      <c r="B59" s="44" t="s">
        <v>212</v>
      </c>
      <c r="C59" s="23"/>
      <c r="D59" s="23" t="s">
        <v>213</v>
      </c>
      <c r="E59" s="39" t="s">
        <v>214</v>
      </c>
      <c r="F59" s="23"/>
      <c r="G59" s="23" t="s">
        <v>92</v>
      </c>
      <c r="H59" s="29" t="s">
        <v>215</v>
      </c>
      <c r="I59" s="32" t="s">
        <v>206</v>
      </c>
      <c r="J59" s="29" t="s">
        <v>216</v>
      </c>
      <c r="K59" s="23" t="s">
        <v>77</v>
      </c>
      <c r="L59" s="23" t="s">
        <v>208</v>
      </c>
      <c r="M59" s="7" t="s">
        <v>217</v>
      </c>
      <c r="N59" s="23"/>
      <c r="O59" s="24" t="b">
        <v>0</v>
      </c>
      <c r="P59" s="24" t="b">
        <v>1</v>
      </c>
      <c r="Q59" t="str">
        <f>B59</f>
        <v>TlsCipherSuites</v>
      </c>
      <c r="R59" s="24" t="b">
        <v>1</v>
      </c>
    </row>
    <row r="60" spans="1:18" ht="176.25" customHeight="1">
      <c r="A60" s="23"/>
      <c r="B60" s="23" t="s">
        <v>218</v>
      </c>
      <c r="C60" s="23"/>
      <c r="D60" s="23" t="s">
        <v>219</v>
      </c>
      <c r="E60" s="39" t="s">
        <v>220</v>
      </c>
      <c r="F60" s="23"/>
      <c r="G60" s="23" t="s">
        <v>92</v>
      </c>
      <c r="H60" s="25" t="s">
        <v>221</v>
      </c>
      <c r="I60" s="32" t="s">
        <v>206</v>
      </c>
      <c r="J60" s="36" t="s">
        <v>222</v>
      </c>
      <c r="K60" s="23" t="s">
        <v>77</v>
      </c>
      <c r="L60" s="23" t="s">
        <v>208</v>
      </c>
      <c r="M60" s="7" t="s">
        <v>223</v>
      </c>
      <c r="N60" s="23"/>
      <c r="O60" s="24" t="b">
        <v>0</v>
      </c>
      <c r="P60" s="24" t="b">
        <v>1</v>
      </c>
      <c r="Q60" t="s">
        <v>224</v>
      </c>
      <c r="R60" s="24" t="b">
        <v>0</v>
      </c>
    </row>
    <row r="61" spans="1:18" ht="207" customHeight="1">
      <c r="A61" s="23"/>
      <c r="B61" s="23" t="s">
        <v>225</v>
      </c>
      <c r="C61" s="23"/>
      <c r="D61" s="23" t="s">
        <v>226</v>
      </c>
      <c r="E61" s="39" t="s">
        <v>227</v>
      </c>
      <c r="F61" s="23"/>
      <c r="G61" s="23" t="s">
        <v>92</v>
      </c>
      <c r="H61" s="36" t="s">
        <v>228</v>
      </c>
      <c r="I61" s="32" t="s">
        <v>206</v>
      </c>
      <c r="J61" s="36" t="s">
        <v>229</v>
      </c>
      <c r="K61" s="23" t="s">
        <v>77</v>
      </c>
      <c r="L61" s="23" t="s">
        <v>208</v>
      </c>
      <c r="M61" s="7" t="s">
        <v>230</v>
      </c>
      <c r="N61" s="23"/>
      <c r="O61" s="24" t="b">
        <v>0</v>
      </c>
      <c r="P61" s="24" t="b">
        <v>0</v>
      </c>
      <c r="R61" s="24" t="b">
        <v>0</v>
      </c>
    </row>
    <row r="62" spans="1:18" ht="150" customHeight="1">
      <c r="A62" s="23"/>
      <c r="B62" s="23" t="s">
        <v>231</v>
      </c>
      <c r="C62" s="23"/>
      <c r="D62" s="23" t="s">
        <v>232</v>
      </c>
      <c r="E62" s="39" t="s">
        <v>220</v>
      </c>
      <c r="F62" s="23"/>
      <c r="G62" s="23" t="s">
        <v>233</v>
      </c>
      <c r="H62" s="23" t="s">
        <v>85</v>
      </c>
      <c r="I62" s="32" t="s">
        <v>58</v>
      </c>
      <c r="J62" s="25" t="s">
        <v>234</v>
      </c>
      <c r="K62" s="23" t="s">
        <v>77</v>
      </c>
      <c r="L62" s="23" t="s">
        <v>208</v>
      </c>
      <c r="M62" s="7" t="s">
        <v>235</v>
      </c>
      <c r="N62" s="23"/>
      <c r="O62" s="24" t="b">
        <v>0</v>
      </c>
      <c r="P62" s="24" t="b">
        <v>0</v>
      </c>
      <c r="R62" s="24" t="b">
        <v>0</v>
      </c>
    </row>
    <row r="63" spans="1:18" ht="246.75">
      <c r="A63" s="23"/>
      <c r="B63" s="23" t="s">
        <v>236</v>
      </c>
      <c r="C63" s="23"/>
      <c r="D63" s="23" t="s">
        <v>237</v>
      </c>
      <c r="E63" s="39" t="s">
        <v>220</v>
      </c>
      <c r="F63" s="23"/>
      <c r="G63" s="23" t="s">
        <v>233</v>
      </c>
      <c r="H63" s="23" t="s">
        <v>85</v>
      </c>
      <c r="I63" s="32" t="s">
        <v>58</v>
      </c>
      <c r="J63" s="25" t="s">
        <v>238</v>
      </c>
      <c r="K63" s="23" t="s">
        <v>77</v>
      </c>
      <c r="L63" s="23" t="s">
        <v>208</v>
      </c>
      <c r="M63" s="7" t="s">
        <v>239</v>
      </c>
      <c r="N63" s="23"/>
      <c r="O63" s="24" t="b">
        <v>0</v>
      </c>
      <c r="P63" s="24" t="b">
        <v>0</v>
      </c>
      <c r="R63" s="24" t="b">
        <v>0</v>
      </c>
    </row>
    <row r="64" spans="1:18" ht="30.75">
      <c r="A64" s="23"/>
      <c r="B64" s="44" t="s">
        <v>240</v>
      </c>
      <c r="C64" s="23"/>
      <c r="D64" s="23" t="s">
        <v>241</v>
      </c>
      <c r="E64" s="23" t="s">
        <v>242</v>
      </c>
      <c r="F64" s="23"/>
      <c r="G64" s="23" t="s">
        <v>92</v>
      </c>
      <c r="H64" t="s">
        <v>243</v>
      </c>
      <c r="I64" s="31" t="s">
        <v>25</v>
      </c>
      <c r="J64" s="31" t="s">
        <v>244</v>
      </c>
      <c r="K64" s="23" t="s">
        <v>77</v>
      </c>
      <c r="L64" s="23" t="s">
        <v>245</v>
      </c>
      <c r="M64" s="7" t="s">
        <v>246</v>
      </c>
      <c r="N64" s="23"/>
      <c r="O64" s="24" t="b">
        <v>0</v>
      </c>
      <c r="P64" s="24" t="b">
        <v>0</v>
      </c>
      <c r="R64" s="24" t="b">
        <v>1</v>
      </c>
    </row>
    <row r="65" spans="1:18" ht="30.75">
      <c r="A65" s="23"/>
      <c r="B65" s="44" t="s">
        <v>247</v>
      </c>
      <c r="C65" s="23"/>
      <c r="D65" s="23" t="s">
        <v>248</v>
      </c>
      <c r="E65" s="23" t="s">
        <v>242</v>
      </c>
      <c r="F65" s="23"/>
      <c r="G65" s="23" t="s">
        <v>92</v>
      </c>
      <c r="H65" s="25" t="s">
        <v>249</v>
      </c>
      <c r="I65" s="32" t="s">
        <v>206</v>
      </c>
      <c r="J65" s="48" t="s">
        <v>250</v>
      </c>
      <c r="K65" s="23" t="s">
        <v>77</v>
      </c>
      <c r="L65" s="23" t="s">
        <v>245</v>
      </c>
      <c r="M65" s="7" t="s">
        <v>246</v>
      </c>
      <c r="N65" s="23"/>
      <c r="O65" s="24" t="b">
        <v>0</v>
      </c>
      <c r="P65" s="24" t="b">
        <v>0</v>
      </c>
      <c r="R65" s="24" t="b">
        <v>1</v>
      </c>
    </row>
    <row r="66" spans="1:18" ht="138.75">
      <c r="A66" s="23"/>
      <c r="B66" s="23" t="s">
        <v>251</v>
      </c>
      <c r="C66" s="23"/>
      <c r="D66" s="23" t="s">
        <v>252</v>
      </c>
      <c r="E66" s="23" t="s">
        <v>253</v>
      </c>
      <c r="F66" s="23"/>
      <c r="G66" s="23" t="s">
        <v>92</v>
      </c>
      <c r="H66" s="7" t="s">
        <v>254</v>
      </c>
      <c r="I66" s="32" t="s">
        <v>206</v>
      </c>
      <c r="J66" s="25" t="s">
        <v>255</v>
      </c>
      <c r="K66" s="23" t="s">
        <v>77</v>
      </c>
      <c r="L66" s="25" t="s">
        <v>256</v>
      </c>
      <c r="M66" s="7" t="s">
        <v>246</v>
      </c>
      <c r="N66" s="25" t="s">
        <v>257</v>
      </c>
      <c r="O66" s="24" t="b">
        <v>0</v>
      </c>
      <c r="P66" s="24" t="b">
        <v>1</v>
      </c>
      <c r="Q66" t="s">
        <v>258</v>
      </c>
      <c r="R66" s="24" t="b">
        <v>1</v>
      </c>
    </row>
    <row r="67" spans="1:18">
      <c r="A67" s="23"/>
      <c r="B67" s="23" t="s">
        <v>259</v>
      </c>
      <c r="C67" s="23"/>
      <c r="D67" s="23" t="s">
        <v>260</v>
      </c>
      <c r="E67" s="23"/>
      <c r="F67" s="23"/>
      <c r="G67" s="23" t="s">
        <v>261</v>
      </c>
      <c r="H67" s="23" t="s">
        <v>262</v>
      </c>
      <c r="I67" s="32"/>
      <c r="K67" s="23" t="s">
        <v>77</v>
      </c>
      <c r="L67" s="23" t="s">
        <v>245</v>
      </c>
      <c r="M67" s="23"/>
      <c r="N67" s="23"/>
      <c r="O67" s="24" t="b">
        <v>0</v>
      </c>
      <c r="P67" s="24" t="b">
        <v>0</v>
      </c>
      <c r="R67" s="24" t="b">
        <v>1</v>
      </c>
    </row>
    <row r="68" spans="1:18" ht="32.25" customHeight="1">
      <c r="A68" s="23"/>
      <c r="B68" s="23" t="s">
        <v>263</v>
      </c>
      <c r="C68" s="23"/>
      <c r="D68" s="23"/>
      <c r="E68" s="23"/>
      <c r="F68" s="23"/>
      <c r="G68" s="23" t="s">
        <v>92</v>
      </c>
      <c r="H68" s="23" t="s">
        <v>262</v>
      </c>
      <c r="I68" s="32"/>
      <c r="K68" s="23" t="s">
        <v>77</v>
      </c>
      <c r="L68" s="25" t="s">
        <v>256</v>
      </c>
      <c r="M68" s="23"/>
      <c r="N68" s="23"/>
      <c r="O68" s="24" t="b">
        <v>0</v>
      </c>
      <c r="P68" s="24" t="b">
        <v>0</v>
      </c>
      <c r="R68" s="24" t="b">
        <v>0</v>
      </c>
    </row>
    <row r="69" spans="1:18" ht="30.75">
      <c r="A69" s="23"/>
      <c r="B69" s="23" t="s">
        <v>264</v>
      </c>
      <c r="C69" s="23"/>
      <c r="D69" s="23"/>
      <c r="E69" s="23"/>
      <c r="F69" s="23"/>
      <c r="G69" s="23" t="s">
        <v>92</v>
      </c>
      <c r="H69" s="23" t="s">
        <v>262</v>
      </c>
      <c r="I69" s="32"/>
      <c r="K69" s="23" t="s">
        <v>77</v>
      </c>
      <c r="L69" s="25" t="s">
        <v>256</v>
      </c>
      <c r="M69" s="23" t="s">
        <v>265</v>
      </c>
      <c r="N69" s="23"/>
      <c r="O69" s="24" t="b">
        <v>0</v>
      </c>
      <c r="P69" s="24" t="b">
        <v>0</v>
      </c>
      <c r="R69" s="24" t="b">
        <v>0</v>
      </c>
    </row>
    <row r="70" spans="1:18">
      <c r="A70" s="23"/>
      <c r="B70" s="23" t="s">
        <v>266</v>
      </c>
      <c r="C70" s="23"/>
      <c r="D70" s="23"/>
      <c r="E70" s="23" t="s">
        <v>267</v>
      </c>
      <c r="F70" s="23"/>
      <c r="G70" s="23" t="s">
        <v>92</v>
      </c>
      <c r="H70" s="23" t="s">
        <v>268</v>
      </c>
      <c r="I70" s="32"/>
      <c r="K70" s="23" t="s">
        <v>77</v>
      </c>
      <c r="L70" s="23" t="s">
        <v>269</v>
      </c>
      <c r="M70" s="23"/>
      <c r="N70" s="23"/>
      <c r="O70" s="24" t="b">
        <v>0</v>
      </c>
      <c r="P70" s="24" t="b">
        <v>0</v>
      </c>
      <c r="R70" s="24" t="b">
        <v>0</v>
      </c>
    </row>
    <row r="71" spans="1:18" ht="51" customHeight="1">
      <c r="A71" s="23"/>
      <c r="B71" s="47" t="s">
        <v>270</v>
      </c>
      <c r="C71" s="23"/>
      <c r="D71" s="23" t="s">
        <v>271</v>
      </c>
      <c r="E71" s="23" t="s">
        <v>242</v>
      </c>
      <c r="F71" s="23"/>
      <c r="G71" s="23" t="s">
        <v>92</v>
      </c>
      <c r="H71" s="25" t="s">
        <v>272</v>
      </c>
      <c r="I71" s="31" t="s">
        <v>25</v>
      </c>
      <c r="J71" s="23" t="s">
        <v>273</v>
      </c>
      <c r="K71" s="23"/>
      <c r="L71" t="s">
        <v>274</v>
      </c>
      <c r="M71" s="7" t="s">
        <v>246</v>
      </c>
      <c r="N71" s="23"/>
      <c r="O71" s="24" t="b">
        <v>0</v>
      </c>
      <c r="P71" s="24" t="b">
        <v>0</v>
      </c>
      <c r="R71" s="24" t="b">
        <v>1</v>
      </c>
    </row>
    <row r="72" spans="1:18" ht="30.75">
      <c r="A72" s="23"/>
      <c r="B72" s="45" t="s">
        <v>275</v>
      </c>
      <c r="C72" s="23"/>
      <c r="D72" s="23" t="s">
        <v>276</v>
      </c>
      <c r="E72" s="23" t="s">
        <v>242</v>
      </c>
      <c r="F72" s="23"/>
      <c r="G72" s="23" t="s">
        <v>277</v>
      </c>
      <c r="H72" s="38" t="s">
        <v>278</v>
      </c>
      <c r="I72" s="31" t="s">
        <v>25</v>
      </c>
      <c r="J72" s="38">
        <v>256</v>
      </c>
      <c r="K72" s="23"/>
      <c r="L72" t="s">
        <v>274</v>
      </c>
      <c r="M72" s="7" t="s">
        <v>246</v>
      </c>
      <c r="N72" s="23"/>
      <c r="O72" s="24" t="b">
        <v>0</v>
      </c>
      <c r="P72" s="24" t="b">
        <v>0</v>
      </c>
      <c r="R72" s="24" t="b">
        <v>1</v>
      </c>
    </row>
    <row r="73" spans="1:18" ht="114" customHeight="1">
      <c r="A73" s="23"/>
      <c r="B73" s="42" t="s">
        <v>279</v>
      </c>
      <c r="C73" s="23"/>
      <c r="D73" s="23" t="s">
        <v>280</v>
      </c>
      <c r="E73" s="23" t="s">
        <v>281</v>
      </c>
      <c r="F73" s="23"/>
      <c r="G73" s="23" t="s">
        <v>38</v>
      </c>
      <c r="H73" s="23" t="s">
        <v>282</v>
      </c>
      <c r="I73" s="31" t="s">
        <v>25</v>
      </c>
      <c r="J73" s="37" t="s">
        <v>40</v>
      </c>
      <c r="K73"/>
      <c r="L73" s="23" t="s">
        <v>208</v>
      </c>
      <c r="M73" s="7" t="s">
        <v>283</v>
      </c>
      <c r="N73" s="23"/>
      <c r="O73" s="24" t="b">
        <v>0</v>
      </c>
      <c r="P73" s="24" t="b">
        <v>0</v>
      </c>
      <c r="R73" s="24" t="b">
        <v>0</v>
      </c>
    </row>
    <row r="74" spans="1:18" ht="86.25" customHeight="1">
      <c r="A74" s="23"/>
      <c r="B74" s="26" t="s">
        <v>284</v>
      </c>
      <c r="C74" s="23"/>
      <c r="D74" s="23" t="s">
        <v>285</v>
      </c>
      <c r="E74" s="23" t="s">
        <v>281</v>
      </c>
      <c r="F74" s="23"/>
      <c r="G74" s="23" t="s">
        <v>38</v>
      </c>
      <c r="H74" s="23" t="s">
        <v>282</v>
      </c>
      <c r="I74" s="31" t="s">
        <v>25</v>
      </c>
      <c r="J74" s="37" t="s">
        <v>286</v>
      </c>
      <c r="K74"/>
      <c r="L74" s="23" t="s">
        <v>208</v>
      </c>
      <c r="M74" s="7" t="s">
        <v>287</v>
      </c>
      <c r="N74" s="23"/>
      <c r="O74" s="24" t="b">
        <v>0</v>
      </c>
      <c r="P74" s="24" t="b">
        <v>0</v>
      </c>
      <c r="R74" s="24" t="b">
        <v>0</v>
      </c>
    </row>
    <row r="75" spans="1:18" ht="111.75" customHeight="1">
      <c r="A75" s="23"/>
      <c r="B75" s="26" t="s">
        <v>288</v>
      </c>
      <c r="C75" s="23"/>
      <c r="D75" s="23" t="s">
        <v>289</v>
      </c>
      <c r="E75" s="23" t="s">
        <v>281</v>
      </c>
      <c r="F75" s="23"/>
      <c r="G75" s="23" t="s">
        <v>38</v>
      </c>
      <c r="H75" s="23" t="s">
        <v>282</v>
      </c>
      <c r="I75" s="31" t="s">
        <v>25</v>
      </c>
      <c r="J75" s="37" t="s">
        <v>40</v>
      </c>
      <c r="K75"/>
      <c r="L75" s="23" t="s">
        <v>208</v>
      </c>
      <c r="M75" s="29" t="s">
        <v>290</v>
      </c>
      <c r="N75" s="23"/>
      <c r="O75" s="24" t="b">
        <v>0</v>
      </c>
      <c r="P75" s="24" t="b">
        <v>0</v>
      </c>
      <c r="R75" s="24" t="b">
        <v>0</v>
      </c>
    </row>
    <row r="76" spans="1:18" ht="81.75" customHeight="1">
      <c r="A76" s="23"/>
      <c r="B76" s="26" t="s">
        <v>291</v>
      </c>
      <c r="C76" s="23"/>
      <c r="D76" s="23" t="s">
        <v>292</v>
      </c>
      <c r="E76" s="23" t="s">
        <v>281</v>
      </c>
      <c r="F76" s="23"/>
      <c r="G76" s="23" t="s">
        <v>38</v>
      </c>
      <c r="H76" s="23" t="s">
        <v>282</v>
      </c>
      <c r="I76" s="31" t="s">
        <v>25</v>
      </c>
      <c r="J76" s="37" t="s">
        <v>40</v>
      </c>
      <c r="K76"/>
      <c r="L76" s="23" t="s">
        <v>208</v>
      </c>
      <c r="M76" s="29" t="s">
        <v>293</v>
      </c>
      <c r="N76" s="23"/>
      <c r="O76" s="24" t="b">
        <v>0</v>
      </c>
      <c r="P76" s="24" t="b">
        <v>0</v>
      </c>
      <c r="R76" s="24" t="b">
        <v>0</v>
      </c>
    </row>
    <row r="77" spans="1:18" ht="85.5" customHeight="1">
      <c r="A77" s="23"/>
      <c r="B77" s="26" t="s">
        <v>294</v>
      </c>
      <c r="C77" s="23"/>
      <c r="D77" s="23" t="s">
        <v>295</v>
      </c>
      <c r="E77" s="23" t="s">
        <v>281</v>
      </c>
      <c r="F77" s="23"/>
      <c r="G77" s="23" t="s">
        <v>38</v>
      </c>
      <c r="H77" s="23" t="s">
        <v>282</v>
      </c>
      <c r="I77" s="31" t="s">
        <v>25</v>
      </c>
      <c r="J77" s="37" t="s">
        <v>286</v>
      </c>
      <c r="K77"/>
      <c r="L77" s="23" t="s">
        <v>208</v>
      </c>
      <c r="M77" s="7" t="s">
        <v>287</v>
      </c>
      <c r="N77" s="23"/>
      <c r="O77" s="24" t="b">
        <v>0</v>
      </c>
      <c r="P77" s="24" t="b">
        <v>0</v>
      </c>
      <c r="R77" s="24" t="b">
        <v>0</v>
      </c>
    </row>
    <row r="78" spans="1:18" ht="30.75">
      <c r="B78" s="42" t="s">
        <v>296</v>
      </c>
      <c r="D78" t="s">
        <v>297</v>
      </c>
      <c r="G78" t="s">
        <v>92</v>
      </c>
      <c r="H78" t="s">
        <v>298</v>
      </c>
      <c r="I78" s="31" t="s">
        <v>25</v>
      </c>
      <c r="J78" s="40" t="s">
        <v>299</v>
      </c>
      <c r="L78" t="s">
        <v>300</v>
      </c>
      <c r="M78" s="7" t="s">
        <v>301</v>
      </c>
      <c r="O78" s="24" t="b">
        <v>0</v>
      </c>
      <c r="P78" s="24" t="b">
        <v>0</v>
      </c>
      <c r="R78" s="24" t="b">
        <v>0</v>
      </c>
    </row>
    <row r="79" spans="1:18" ht="285.75" customHeight="1">
      <c r="B79" s="42" t="s">
        <v>302</v>
      </c>
      <c r="D79" t="s">
        <v>303</v>
      </c>
      <c r="G79" t="s">
        <v>92</v>
      </c>
      <c r="H79" s="7" t="s">
        <v>304</v>
      </c>
      <c r="I79" s="32" t="s">
        <v>206</v>
      </c>
      <c r="J79" s="41" t="s">
        <v>305</v>
      </c>
      <c r="L79" t="s">
        <v>300</v>
      </c>
      <c r="M79" s="7" t="s">
        <v>306</v>
      </c>
      <c r="O79" s="24" t="b">
        <v>0</v>
      </c>
      <c r="P79" s="24" t="b">
        <v>0</v>
      </c>
      <c r="R79" s="24" t="b">
        <v>0</v>
      </c>
    </row>
    <row r="80" spans="1:18" ht="30.75">
      <c r="B80" s="42" t="s">
        <v>307</v>
      </c>
      <c r="D80" s="7" t="s">
        <v>308</v>
      </c>
      <c r="G80" t="s">
        <v>233</v>
      </c>
      <c r="H80" t="s">
        <v>309</v>
      </c>
      <c r="I80" t="s">
        <v>58</v>
      </c>
      <c r="J80" s="32">
        <v>3000</v>
      </c>
      <c r="L80" t="s">
        <v>300</v>
      </c>
      <c r="M80" s="7" t="s">
        <v>310</v>
      </c>
      <c r="O80" s="24" t="b">
        <v>0</v>
      </c>
      <c r="P80" s="24" t="b">
        <v>0</v>
      </c>
      <c r="R80" s="24" t="b">
        <v>0</v>
      </c>
    </row>
    <row r="81" spans="1:18" ht="46.5">
      <c r="B81" s="42" t="s">
        <v>311</v>
      </c>
      <c r="D81" t="s">
        <v>312</v>
      </c>
      <c r="F81" t="s">
        <v>313</v>
      </c>
      <c r="G81" t="s">
        <v>233</v>
      </c>
      <c r="H81" t="s">
        <v>309</v>
      </c>
      <c r="I81" s="43" t="s">
        <v>25</v>
      </c>
      <c r="J81" s="32">
        <v>1</v>
      </c>
      <c r="L81" t="s">
        <v>300</v>
      </c>
      <c r="M81" s="7" t="s">
        <v>314</v>
      </c>
      <c r="O81" s="24" t="b">
        <v>0</v>
      </c>
      <c r="P81" s="24" t="b">
        <v>0</v>
      </c>
      <c r="R81" s="24" t="b">
        <v>0</v>
      </c>
    </row>
    <row r="82" spans="1:18" ht="66.75" customHeight="1">
      <c r="B82" s="42" t="s">
        <v>315</v>
      </c>
      <c r="D82" t="s">
        <v>316</v>
      </c>
      <c r="F82" t="s">
        <v>317</v>
      </c>
      <c r="G82" t="s">
        <v>233</v>
      </c>
      <c r="H82" t="s">
        <v>309</v>
      </c>
      <c r="I82" s="43" t="s">
        <v>25</v>
      </c>
      <c r="J82" s="32">
        <v>1</v>
      </c>
      <c r="L82" t="s">
        <v>300</v>
      </c>
      <c r="M82" s="7" t="s">
        <v>318</v>
      </c>
      <c r="O82" s="24" t="b">
        <v>0</v>
      </c>
      <c r="P82" s="24" t="b">
        <v>0</v>
      </c>
      <c r="R82" s="24" t="b">
        <v>0</v>
      </c>
    </row>
    <row r="83" spans="1:18" ht="276.75" customHeight="1">
      <c r="B83" s="42" t="s">
        <v>319</v>
      </c>
      <c r="D83" t="s">
        <v>320</v>
      </c>
      <c r="G83" t="s">
        <v>92</v>
      </c>
      <c r="H83" s="7" t="s">
        <v>321</v>
      </c>
      <c r="I83" t="s">
        <v>206</v>
      </c>
      <c r="J83" s="41" t="s">
        <v>322</v>
      </c>
      <c r="L83" t="s">
        <v>300</v>
      </c>
      <c r="M83" s="7" t="s">
        <v>323</v>
      </c>
      <c r="O83" s="24" t="b">
        <v>0</v>
      </c>
      <c r="P83" s="24" t="b">
        <v>0</v>
      </c>
      <c r="R83" s="24" t="b">
        <v>0</v>
      </c>
    </row>
    <row r="84" spans="1:18" ht="180" customHeight="1">
      <c r="B84" s="42" t="s">
        <v>324</v>
      </c>
      <c r="D84" t="s">
        <v>325</v>
      </c>
      <c r="G84" t="s">
        <v>92</v>
      </c>
      <c r="H84" s="7" t="s">
        <v>326</v>
      </c>
      <c r="I84" t="s">
        <v>206</v>
      </c>
      <c r="J84" s="7" t="s">
        <v>327</v>
      </c>
      <c r="L84" t="s">
        <v>300</v>
      </c>
      <c r="M84" s="7" t="s">
        <v>328</v>
      </c>
      <c r="O84" s="24" t="b">
        <v>0</v>
      </c>
      <c r="P84" s="24" t="b">
        <v>0</v>
      </c>
      <c r="R84" s="24" t="b">
        <v>0</v>
      </c>
    </row>
    <row r="85" spans="1:18" ht="392.25" customHeight="1">
      <c r="B85" s="42" t="s">
        <v>329</v>
      </c>
      <c r="D85" t="s">
        <v>330</v>
      </c>
      <c r="G85" t="s">
        <v>92</v>
      </c>
      <c r="H85" s="7" t="s">
        <v>331</v>
      </c>
      <c r="I85" t="s">
        <v>206</v>
      </c>
      <c r="J85" s="41" t="s">
        <v>332</v>
      </c>
      <c r="L85" t="s">
        <v>300</v>
      </c>
      <c r="M85" s="7" t="s">
        <v>333</v>
      </c>
      <c r="O85" s="24" t="b">
        <v>0</v>
      </c>
      <c r="P85" s="24" t="b">
        <v>0</v>
      </c>
      <c r="R85" s="24" t="b">
        <v>0</v>
      </c>
    </row>
    <row r="86" spans="1:18" ht="383.25" customHeight="1">
      <c r="B86" s="42" t="s">
        <v>334</v>
      </c>
      <c r="D86" s="7" t="s">
        <v>335</v>
      </c>
      <c r="G86" t="s">
        <v>92</v>
      </c>
      <c r="H86" s="7" t="s">
        <v>331</v>
      </c>
      <c r="I86" t="s">
        <v>206</v>
      </c>
      <c r="J86" s="41" t="s">
        <v>332</v>
      </c>
      <c r="L86" t="s">
        <v>300</v>
      </c>
      <c r="M86" s="7" t="s">
        <v>336</v>
      </c>
      <c r="O86" s="24" t="b">
        <v>0</v>
      </c>
      <c r="P86" s="24" t="b">
        <v>0</v>
      </c>
      <c r="R86" s="24" t="b">
        <v>0</v>
      </c>
    </row>
    <row r="87" spans="1:18" ht="83.25" customHeight="1">
      <c r="A87" s="23" t="s">
        <v>337</v>
      </c>
      <c r="B87" s="23" t="s">
        <v>338</v>
      </c>
      <c r="C87" s="23"/>
      <c r="D87" s="23"/>
      <c r="E87" s="23"/>
      <c r="F87" s="23"/>
      <c r="G87" s="23" t="s">
        <v>38</v>
      </c>
      <c r="H87" s="23" t="s">
        <v>39</v>
      </c>
      <c r="I87" s="32"/>
      <c r="K87" s="23" t="s">
        <v>77</v>
      </c>
      <c r="L87" s="25" t="s">
        <v>339</v>
      </c>
      <c r="M87" s="23"/>
      <c r="N87" s="23"/>
      <c r="O87" s="24" t="b">
        <v>0</v>
      </c>
      <c r="P87" s="24" t="b">
        <v>1</v>
      </c>
      <c r="Q87" t="str">
        <f>B87</f>
        <v>L3FirewallEnabled</v>
      </c>
      <c r="R87" s="24" t="b">
        <v>0</v>
      </c>
    </row>
    <row r="88" spans="1:18" ht="99.75" customHeight="1">
      <c r="A88" s="23"/>
      <c r="B88" s="23" t="s">
        <v>340</v>
      </c>
      <c r="C88" s="23"/>
      <c r="D88" s="23"/>
      <c r="E88" s="23"/>
      <c r="F88" s="23"/>
      <c r="G88" s="23" t="s">
        <v>341</v>
      </c>
      <c r="H88" s="23" t="s">
        <v>85</v>
      </c>
      <c r="I88" s="32"/>
      <c r="K88" s="23" t="s">
        <v>77</v>
      </c>
      <c r="L88" s="23" t="s">
        <v>342</v>
      </c>
      <c r="M88" s="23"/>
      <c r="N88" s="23"/>
      <c r="O88" s="24" t="b">
        <v>0</v>
      </c>
      <c r="P88" s="24" t="b">
        <v>1</v>
      </c>
      <c r="Q88" t="str">
        <f>B88</f>
        <v>L3FirewallRestrictedPorts</v>
      </c>
      <c r="R88" s="24" t="b">
        <v>0</v>
      </c>
    </row>
    <row r="89" spans="1:18" ht="84" customHeight="1">
      <c r="A89" s="23"/>
      <c r="B89" s="23" t="s">
        <v>343</v>
      </c>
      <c r="C89" s="23"/>
      <c r="D89" s="23"/>
      <c r="E89" s="23"/>
      <c r="F89" s="23"/>
      <c r="G89" s="23" t="s">
        <v>38</v>
      </c>
      <c r="H89" s="23" t="s">
        <v>39</v>
      </c>
      <c r="I89" s="32"/>
      <c r="K89" s="23" t="s">
        <v>77</v>
      </c>
      <c r="L89" s="23" t="s">
        <v>344</v>
      </c>
      <c r="M89" s="23"/>
      <c r="N89" s="23"/>
      <c r="O89" s="24" t="b">
        <v>0</v>
      </c>
      <c r="P89" s="24" t="b">
        <v>1</v>
      </c>
      <c r="Q89" t="str">
        <f>B89</f>
        <v>WebApplicationFirewallEnabled</v>
      </c>
      <c r="R89" s="24" t="b">
        <v>0</v>
      </c>
    </row>
    <row r="90" spans="1:18" ht="81" customHeight="1">
      <c r="A90" s="23"/>
      <c r="B90" s="23" t="s">
        <v>345</v>
      </c>
      <c r="C90" s="23"/>
      <c r="D90" s="23" t="s">
        <v>346</v>
      </c>
      <c r="E90" s="23"/>
      <c r="F90" s="23"/>
      <c r="G90" s="23" t="s">
        <v>38</v>
      </c>
      <c r="H90" s="23" t="s">
        <v>39</v>
      </c>
      <c r="I90" s="32"/>
      <c r="K90" s="23" t="s">
        <v>77</v>
      </c>
      <c r="L90" s="25" t="s">
        <v>347</v>
      </c>
      <c r="M90" s="23"/>
      <c r="N90" s="23"/>
      <c r="O90" s="24" t="b">
        <v>0</v>
      </c>
      <c r="P90" s="24" t="b">
        <v>0</v>
      </c>
      <c r="R90" s="24" t="b">
        <v>0</v>
      </c>
    </row>
    <row r="91" spans="1:18" ht="113.25" customHeight="1">
      <c r="A91" s="23" t="s">
        <v>348</v>
      </c>
      <c r="B91" s="23" t="s">
        <v>349</v>
      </c>
      <c r="C91" s="23"/>
      <c r="D91" s="23"/>
      <c r="E91" s="23"/>
      <c r="F91" s="23"/>
      <c r="G91" s="23" t="s">
        <v>92</v>
      </c>
      <c r="H91" s="23" t="s">
        <v>268</v>
      </c>
      <c r="I91" s="32"/>
      <c r="K91" s="23" t="s">
        <v>77</v>
      </c>
      <c r="L91" s="23" t="s">
        <v>344</v>
      </c>
      <c r="M91" s="23"/>
      <c r="N91" s="23"/>
      <c r="O91" s="24" t="b">
        <v>0</v>
      </c>
      <c r="P91" s="24" t="b">
        <v>1</v>
      </c>
      <c r="Q91" s="7" t="s">
        <v>350</v>
      </c>
      <c r="R91" s="24" t="b">
        <v>0</v>
      </c>
    </row>
    <row r="92" spans="1:18" ht="117.75" customHeight="1">
      <c r="A92" s="23" t="s">
        <v>351</v>
      </c>
      <c r="B92" s="23" t="s">
        <v>352</v>
      </c>
      <c r="C92" s="23"/>
      <c r="D92" s="23"/>
      <c r="E92" s="23" t="s">
        <v>353</v>
      </c>
      <c r="F92" s="23"/>
      <c r="G92" s="23" t="s">
        <v>92</v>
      </c>
      <c r="H92" s="23" t="s">
        <v>354</v>
      </c>
      <c r="I92" s="32"/>
      <c r="K92" s="23" t="s">
        <v>77</v>
      </c>
      <c r="L92" s="23" t="s">
        <v>167</v>
      </c>
      <c r="M92" s="23" t="s">
        <v>355</v>
      </c>
      <c r="N92" s="23"/>
      <c r="O92" s="24" t="b">
        <v>0</v>
      </c>
      <c r="P92" s="24" t="b">
        <v>1</v>
      </c>
      <c r="Q92" t="str">
        <f>B92</f>
        <v>AtRestEncryptionAlgorithm</v>
      </c>
      <c r="R92" s="24" t="b">
        <v>0</v>
      </c>
    </row>
    <row r="93" spans="1:18" ht="125.25" customHeight="1">
      <c r="A93" s="23"/>
      <c r="B93" s="23" t="s">
        <v>356</v>
      </c>
      <c r="C93" s="23"/>
      <c r="D93" s="23"/>
      <c r="E93" s="23" t="s">
        <v>357</v>
      </c>
      <c r="F93" s="23"/>
      <c r="G93" s="23" t="s">
        <v>38</v>
      </c>
      <c r="H93" s="23" t="s">
        <v>39</v>
      </c>
      <c r="I93" s="32"/>
      <c r="K93" s="23" t="s">
        <v>77</v>
      </c>
      <c r="L93" s="23" t="s">
        <v>167</v>
      </c>
      <c r="M93" s="23" t="s">
        <v>355</v>
      </c>
      <c r="N93" s="23"/>
      <c r="O93" s="24" t="b">
        <v>0</v>
      </c>
      <c r="P93" s="24" t="b">
        <v>1</v>
      </c>
      <c r="Q93" t="str">
        <f>B93</f>
        <v>AtRestEncryptionEnabled</v>
      </c>
      <c r="R93" s="24" t="b">
        <v>0</v>
      </c>
    </row>
    <row r="94" spans="1:18" ht="39.75" customHeight="1">
      <c r="A94" s="23"/>
      <c r="B94" s="23" t="s">
        <v>358</v>
      </c>
      <c r="C94" s="23"/>
      <c r="D94" s="23"/>
      <c r="E94" s="23"/>
      <c r="F94" s="23"/>
      <c r="G94" s="23" t="s">
        <v>38</v>
      </c>
      <c r="H94" s="23" t="s">
        <v>39</v>
      </c>
      <c r="I94" s="32"/>
      <c r="K94" s="23" t="s">
        <v>77</v>
      </c>
      <c r="L94" s="23" t="s">
        <v>167</v>
      </c>
      <c r="M94" s="23"/>
      <c r="N94" s="23"/>
      <c r="O94" s="24" t="b">
        <v>0</v>
      </c>
      <c r="P94" s="24" t="b">
        <v>0</v>
      </c>
      <c r="R94" s="24" t="b">
        <v>0</v>
      </c>
    </row>
    <row r="95" spans="1:18" ht="15.75" customHeight="1">
      <c r="A95" s="23"/>
      <c r="B95" s="23" t="s">
        <v>359</v>
      </c>
      <c r="C95" s="23"/>
      <c r="D95" s="23"/>
      <c r="E95" s="23"/>
      <c r="F95" s="23"/>
      <c r="G95" s="23" t="s">
        <v>38</v>
      </c>
      <c r="H95" s="23" t="s">
        <v>39</v>
      </c>
      <c r="I95" s="32"/>
      <c r="K95" s="23" t="s">
        <v>77</v>
      </c>
      <c r="L95" s="23" t="s">
        <v>167</v>
      </c>
      <c r="M95" s="23"/>
      <c r="N95" s="23"/>
      <c r="O95" s="24" t="b">
        <v>0</v>
      </c>
      <c r="P95" s="24" t="b">
        <v>1</v>
      </c>
      <c r="Q95" t="str">
        <f>B95</f>
        <v>VirtualMachineDiskEncryptionEnabled</v>
      </c>
      <c r="R95" s="24" t="b">
        <v>0</v>
      </c>
    </row>
    <row r="96" spans="1:18" ht="15.75" customHeight="1">
      <c r="A96" s="23" t="s">
        <v>360</v>
      </c>
      <c r="B96" s="44" t="s">
        <v>361</v>
      </c>
      <c r="C96" s="23"/>
      <c r="D96" s="23" t="s">
        <v>362</v>
      </c>
      <c r="E96" s="23" t="s">
        <v>363</v>
      </c>
      <c r="F96" s="23"/>
      <c r="G96" s="23" t="s">
        <v>38</v>
      </c>
      <c r="H96" s="23" t="s">
        <v>39</v>
      </c>
      <c r="I96" s="31" t="s">
        <v>25</v>
      </c>
      <c r="J96" s="31" t="s">
        <v>40</v>
      </c>
      <c r="K96" s="23" t="s">
        <v>77</v>
      </c>
      <c r="L96" s="25" t="s">
        <v>364</v>
      </c>
      <c r="M96" s="7" t="s">
        <v>365</v>
      </c>
      <c r="N96" s="23"/>
      <c r="O96" s="24" t="b">
        <v>1</v>
      </c>
      <c r="P96" s="24" t="b">
        <v>1</v>
      </c>
      <c r="Q96" t="str">
        <f>B96</f>
        <v>TransportEncryptionEnabled</v>
      </c>
      <c r="R96" s="24" t="b">
        <v>1</v>
      </c>
    </row>
    <row r="97" spans="1:18" ht="15.75" customHeight="1">
      <c r="A97" s="23"/>
      <c r="B97" s="44" t="s">
        <v>366</v>
      </c>
      <c r="C97" s="23"/>
      <c r="D97" s="23" t="s">
        <v>367</v>
      </c>
      <c r="E97" s="23" t="s">
        <v>368</v>
      </c>
      <c r="F97" s="23"/>
      <c r="G97" s="23" t="s">
        <v>38</v>
      </c>
      <c r="H97" s="23" t="s">
        <v>39</v>
      </c>
      <c r="I97" s="32"/>
      <c r="K97" s="23" t="s">
        <v>77</v>
      </c>
      <c r="L97" s="25" t="s">
        <v>364</v>
      </c>
      <c r="M97" s="7" t="s">
        <v>369</v>
      </c>
      <c r="N97" s="25" t="s">
        <v>370</v>
      </c>
      <c r="O97" s="24" t="b">
        <v>1</v>
      </c>
      <c r="P97" s="24" t="b">
        <v>1</v>
      </c>
      <c r="Q97" t="str">
        <f t="shared" ref="Q97:Q99" si="3">B97</f>
        <v>TransportEncryptionEnforced</v>
      </c>
      <c r="R97" s="24" t="b">
        <v>1</v>
      </c>
    </row>
    <row r="98" spans="1:18" ht="77.25">
      <c r="A98" s="23"/>
      <c r="B98" s="44" t="s">
        <v>371</v>
      </c>
      <c r="C98" s="23"/>
      <c r="D98" s="23" t="s">
        <v>372</v>
      </c>
      <c r="E98" s="23" t="s">
        <v>373</v>
      </c>
      <c r="F98" s="23"/>
      <c r="G98" s="23" t="s">
        <v>92</v>
      </c>
      <c r="H98" s="23" t="s">
        <v>374</v>
      </c>
      <c r="I98" s="31" t="s">
        <v>25</v>
      </c>
      <c r="J98" s="32" t="s">
        <v>375</v>
      </c>
      <c r="K98" s="23" t="s">
        <v>77</v>
      </c>
      <c r="L98" s="25" t="s">
        <v>364</v>
      </c>
      <c r="M98" s="7" t="s">
        <v>376</v>
      </c>
      <c r="N98" s="23"/>
      <c r="O98" s="24" t="b">
        <v>1</v>
      </c>
      <c r="P98" s="24" t="b">
        <v>1</v>
      </c>
      <c r="Q98" t="str">
        <f t="shared" si="3"/>
        <v>TransportEncryptionProtocol</v>
      </c>
      <c r="R98" s="24" t="b">
        <v>1</v>
      </c>
    </row>
    <row r="99" spans="1:18" ht="77.25">
      <c r="A99" s="23"/>
      <c r="B99" s="44" t="s">
        <v>211</v>
      </c>
      <c r="C99" s="23"/>
      <c r="D99" s="23" t="s">
        <v>377</v>
      </c>
      <c r="E99" s="23" t="s">
        <v>378</v>
      </c>
      <c r="F99" s="23"/>
      <c r="G99" s="23" t="s">
        <v>92</v>
      </c>
      <c r="H99" s="23" t="s">
        <v>379</v>
      </c>
      <c r="I99" s="32" t="s">
        <v>206</v>
      </c>
      <c r="J99" s="32" t="s">
        <v>380</v>
      </c>
      <c r="K99" s="23" t="s">
        <v>77</v>
      </c>
      <c r="L99" s="25" t="s">
        <v>364</v>
      </c>
      <c r="M99" s="7" t="s">
        <v>376</v>
      </c>
      <c r="N99" s="23"/>
      <c r="O99" s="24" t="b">
        <v>1</v>
      </c>
      <c r="P99" s="24" t="b">
        <v>1</v>
      </c>
      <c r="Q99" t="str">
        <f t="shared" si="3"/>
        <v>TransportEncryptionProtocolVersion</v>
      </c>
      <c r="R99" s="24" t="b">
        <v>1</v>
      </c>
    </row>
    <row r="100" spans="1:18" ht="108">
      <c r="A100" s="23" t="s">
        <v>381</v>
      </c>
      <c r="B100" s="23" t="s">
        <v>382</v>
      </c>
      <c r="C100" s="23"/>
      <c r="D100" s="23" t="s">
        <v>383</v>
      </c>
      <c r="E100" s="23" t="s">
        <v>384</v>
      </c>
      <c r="F100" s="23"/>
      <c r="G100" s="23" t="s">
        <v>38</v>
      </c>
      <c r="H100" s="23" t="s">
        <v>39</v>
      </c>
      <c r="I100" s="31" t="s">
        <v>25</v>
      </c>
      <c r="J100" s="31" t="s">
        <v>40</v>
      </c>
      <c r="K100" s="23" t="s">
        <v>77</v>
      </c>
      <c r="L100" s="25" t="s">
        <v>385</v>
      </c>
      <c r="M100" s="25" t="s">
        <v>386</v>
      </c>
      <c r="N100" s="23"/>
      <c r="O100" s="24" t="b">
        <v>0</v>
      </c>
      <c r="P100" s="24" t="b">
        <v>0</v>
      </c>
      <c r="R100" s="24" t="b">
        <v>0</v>
      </c>
    </row>
    <row r="101" spans="1:18" ht="108">
      <c r="A101" s="23"/>
      <c r="B101" s="23" t="s">
        <v>387</v>
      </c>
      <c r="C101" s="23"/>
      <c r="D101" s="23" t="s">
        <v>388</v>
      </c>
      <c r="E101" s="23" t="s">
        <v>389</v>
      </c>
      <c r="F101" s="23" t="s">
        <v>98</v>
      </c>
      <c r="G101" s="23" t="s">
        <v>84</v>
      </c>
      <c r="H101" s="23" t="s">
        <v>85</v>
      </c>
      <c r="I101" s="32"/>
      <c r="J101" s="23" t="s">
        <v>390</v>
      </c>
      <c r="K101" s="23" t="s">
        <v>77</v>
      </c>
      <c r="L101" s="25" t="s">
        <v>385</v>
      </c>
      <c r="M101" s="25" t="s">
        <v>391</v>
      </c>
      <c r="N101" s="23"/>
      <c r="O101" s="24" t="b">
        <v>0</v>
      </c>
      <c r="P101" s="24" t="b">
        <v>0</v>
      </c>
      <c r="R101" s="24" t="b">
        <v>0</v>
      </c>
    </row>
    <row r="102" spans="1:18" ht="15.75" customHeight="1">
      <c r="A102" s="23"/>
      <c r="B102" s="23" t="s">
        <v>392</v>
      </c>
      <c r="C102" s="23"/>
      <c r="D102" s="23" t="s">
        <v>393</v>
      </c>
      <c r="E102" s="23" t="s">
        <v>394</v>
      </c>
      <c r="F102" s="23" t="s">
        <v>98</v>
      </c>
      <c r="G102" s="23" t="s">
        <v>84</v>
      </c>
      <c r="H102" s="23" t="s">
        <v>85</v>
      </c>
      <c r="I102" s="32"/>
      <c r="J102" s="23" t="s">
        <v>390</v>
      </c>
      <c r="K102" s="23" t="s">
        <v>77</v>
      </c>
      <c r="L102" s="23" t="s">
        <v>395</v>
      </c>
      <c r="M102" s="25" t="s">
        <v>391</v>
      </c>
      <c r="N102" s="23"/>
      <c r="O102" s="24" t="b">
        <v>0</v>
      </c>
      <c r="P102" s="24" t="b">
        <v>0</v>
      </c>
      <c r="R102" s="24" t="b">
        <v>0</v>
      </c>
    </row>
    <row r="103" spans="1:18" ht="15.75" customHeight="1">
      <c r="A103" s="23" t="s">
        <v>396</v>
      </c>
      <c r="B103" s="23" t="s">
        <v>397</v>
      </c>
      <c r="C103" s="23"/>
      <c r="D103" s="23" t="s">
        <v>398</v>
      </c>
      <c r="E103" s="25" t="s">
        <v>399</v>
      </c>
      <c r="F103" s="23"/>
      <c r="G103" s="23" t="s">
        <v>38</v>
      </c>
      <c r="H103" s="23" t="s">
        <v>39</v>
      </c>
      <c r="I103" s="32"/>
      <c r="K103" s="23" t="s">
        <v>77</v>
      </c>
      <c r="L103" s="23" t="s">
        <v>344</v>
      </c>
      <c r="M103" s="25" t="s">
        <v>400</v>
      </c>
      <c r="N103" s="23" t="s">
        <v>401</v>
      </c>
      <c r="O103" s="24" t="b">
        <v>0</v>
      </c>
      <c r="P103" s="24" t="b">
        <v>0</v>
      </c>
      <c r="R103" s="24" t="b">
        <v>0</v>
      </c>
    </row>
  </sheetData>
  <autoFilter ref="A1:P103" xr:uid="{06C19953-2D90-0F40-9B66-95EEE115B67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54EE0-6D06-4FB2-9BE4-3746D7CD97B8}">
  <dimension ref="A1:B3"/>
  <sheetViews>
    <sheetView workbookViewId="0">
      <pane ySplit="1" topLeftCell="A2" activePane="bottomLeft" state="frozen"/>
      <selection pane="bottomLeft" activeCell="I3" sqref="I3"/>
    </sheetView>
  </sheetViews>
  <sheetFormatPr defaultColWidth="8.875" defaultRowHeight="15.95"/>
  <cols>
    <col min="1" max="1" width="18.375" customWidth="1"/>
    <col min="2" max="2" width="22.375" customWidth="1"/>
  </cols>
  <sheetData>
    <row r="1" spans="1:2">
      <c r="A1" s="46" t="s">
        <v>402</v>
      </c>
      <c r="B1" s="46" t="s">
        <v>3</v>
      </c>
    </row>
    <row r="2" spans="1:2" ht="68.099999999999994">
      <c r="A2" s="26" t="s">
        <v>403</v>
      </c>
      <c r="B2" s="7" t="s">
        <v>404</v>
      </c>
    </row>
    <row r="3" spans="1:2" ht="67.5" customHeight="1">
      <c r="A3" s="44" t="s">
        <v>403</v>
      </c>
      <c r="B3" s="7" t="s">
        <v>405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613FB-ACD0-9043-9B0C-15717C927888}">
  <dimension ref="A1:F15"/>
  <sheetViews>
    <sheetView topLeftCell="C13" zoomScale="130" zoomScaleNormal="130" workbookViewId="0">
      <selection activeCell="C13" sqref="C13"/>
    </sheetView>
  </sheetViews>
  <sheetFormatPr defaultColWidth="10.875" defaultRowHeight="15.95"/>
  <cols>
    <col min="2" max="2" width="19.125" bestFit="1" customWidth="1"/>
    <col min="3" max="3" width="21.875" customWidth="1"/>
    <col min="4" max="4" width="70.5" customWidth="1"/>
    <col min="6" max="6" width="38.625" style="7" customWidth="1"/>
  </cols>
  <sheetData>
    <row r="1" spans="1:6" ht="17.100000000000001">
      <c r="A1" t="s">
        <v>406</v>
      </c>
      <c r="B1" s="6"/>
      <c r="D1" s="7"/>
      <c r="F1" s="7" t="s">
        <v>407</v>
      </c>
    </row>
    <row r="2" spans="1:6" ht="255.75" customHeight="1">
      <c r="B2" s="8" t="s">
        <v>408</v>
      </c>
      <c r="D2" s="7" t="s">
        <v>409</v>
      </c>
      <c r="F2" s="7" t="s">
        <v>410</v>
      </c>
    </row>
    <row r="3" spans="1:6" ht="58.5" customHeight="1">
      <c r="B3" s="8" t="s">
        <v>411</v>
      </c>
      <c r="D3" s="7" t="s">
        <v>412</v>
      </c>
      <c r="F3" s="7" t="s">
        <v>413</v>
      </c>
    </row>
    <row r="4" spans="1:6" ht="33.950000000000003">
      <c r="B4" s="8" t="s">
        <v>414</v>
      </c>
      <c r="D4" s="7" t="s">
        <v>415</v>
      </c>
      <c r="F4" s="7" t="s">
        <v>416</v>
      </c>
    </row>
    <row r="5" spans="1:6" ht="102">
      <c r="B5" s="8" t="s">
        <v>417</v>
      </c>
      <c r="D5" s="7" t="s">
        <v>418</v>
      </c>
      <c r="F5" s="7" t="s">
        <v>419</v>
      </c>
    </row>
    <row r="6" spans="1:6" ht="81.75" customHeight="1">
      <c r="B6" s="8" t="s">
        <v>420</v>
      </c>
      <c r="D6" s="7" t="s">
        <v>421</v>
      </c>
      <c r="F6" s="7" t="s">
        <v>422</v>
      </c>
    </row>
    <row r="7" spans="1:6" ht="33.950000000000003">
      <c r="B7" s="8" t="s">
        <v>423</v>
      </c>
      <c r="D7" s="7" t="s">
        <v>424</v>
      </c>
      <c r="F7" s="7" t="s">
        <v>425</v>
      </c>
    </row>
    <row r="8" spans="1:6">
      <c r="B8" s="9"/>
      <c r="D8" s="7"/>
    </row>
    <row r="9" spans="1:6">
      <c r="A9" t="s">
        <v>426</v>
      </c>
      <c r="B9" s="8"/>
      <c r="D9" s="7"/>
    </row>
    <row r="10" spans="1:6" ht="71.25" customHeight="1">
      <c r="B10" s="8" t="s">
        <v>427</v>
      </c>
      <c r="D10" s="7" t="s">
        <v>428</v>
      </c>
    </row>
    <row r="11" spans="1:6" ht="70.5" customHeight="1">
      <c r="A11" s="10" t="s">
        <v>429</v>
      </c>
      <c r="B11" s="11" t="s">
        <v>430</v>
      </c>
      <c r="C11" s="11" t="s">
        <v>431</v>
      </c>
      <c r="D11" s="7" t="s">
        <v>432</v>
      </c>
      <c r="F11" s="7" t="s">
        <v>433</v>
      </c>
    </row>
    <row r="12" spans="1:6" ht="63.95">
      <c r="A12" s="10" t="s">
        <v>434</v>
      </c>
      <c r="B12" s="11" t="s">
        <v>435</v>
      </c>
      <c r="C12" s="11" t="s">
        <v>436</v>
      </c>
      <c r="D12" s="11" t="s">
        <v>437</v>
      </c>
      <c r="F12" s="7" t="s">
        <v>438</v>
      </c>
    </row>
    <row r="13" spans="1:6" ht="80.099999999999994">
      <c r="A13" s="10" t="s">
        <v>434</v>
      </c>
      <c r="B13" s="11" t="s">
        <v>439</v>
      </c>
      <c r="C13" s="11" t="s">
        <v>440</v>
      </c>
      <c r="D13" s="11" t="s">
        <v>441</v>
      </c>
      <c r="F13" s="7" t="s">
        <v>438</v>
      </c>
    </row>
    <row r="14" spans="1:6" ht="195.75" customHeight="1">
      <c r="A14" s="10" t="s">
        <v>434</v>
      </c>
      <c r="B14" s="11" t="s">
        <v>442</v>
      </c>
      <c r="C14" s="11" t="s">
        <v>443</v>
      </c>
      <c r="D14" s="12" t="s">
        <v>444</v>
      </c>
      <c r="F14" s="7" t="s">
        <v>438</v>
      </c>
    </row>
    <row r="15" spans="1:6" ht="119.1">
      <c r="A15" s="10" t="s">
        <v>445</v>
      </c>
      <c r="B15" s="11" t="s">
        <v>446</v>
      </c>
      <c r="C15" s="11" t="s">
        <v>193</v>
      </c>
      <c r="D15" s="11" t="s">
        <v>447</v>
      </c>
      <c r="F15" s="13" t="s">
        <v>448</v>
      </c>
    </row>
  </sheetData>
  <hyperlinks>
    <hyperlink ref="F15" r:id="rId1" display="https://cheatsheetseries.owasp.org/cheatsheets/Session_Management_Cheat_Sheet.html" xr:uid="{91528FA8-37D3-4091-88D2-C5666BA2395D}"/>
  </hyperlink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C03AF-4259-154B-8283-42DEC0B370CB}">
  <dimension ref="A1:C33"/>
  <sheetViews>
    <sheetView zoomScale="150" zoomScaleNormal="150" workbookViewId="0">
      <selection activeCell="B18" sqref="B18"/>
    </sheetView>
  </sheetViews>
  <sheetFormatPr defaultColWidth="11" defaultRowHeight="15.95"/>
  <cols>
    <col min="1" max="1" width="38.5" customWidth="1"/>
    <col min="2" max="2" width="7" bestFit="1" customWidth="1"/>
    <col min="3" max="3" width="42.875" customWidth="1"/>
  </cols>
  <sheetData>
    <row r="1" spans="1:3">
      <c r="A1" s="1" t="s">
        <v>449</v>
      </c>
      <c r="B1" s="2" t="s">
        <v>450</v>
      </c>
      <c r="C1" s="2" t="s">
        <v>451</v>
      </c>
    </row>
    <row r="2" spans="1:3">
      <c r="A2" s="1" t="s">
        <v>449</v>
      </c>
      <c r="B2" s="2" t="s">
        <v>452</v>
      </c>
      <c r="C2" s="2" t="s">
        <v>453</v>
      </c>
    </row>
    <row r="3" spans="1:3">
      <c r="A3" s="1" t="s">
        <v>454</v>
      </c>
      <c r="B3" s="2" t="s">
        <v>455</v>
      </c>
      <c r="C3" s="2" t="s">
        <v>456</v>
      </c>
    </row>
    <row r="4" spans="1:3">
      <c r="A4" s="1" t="s">
        <v>454</v>
      </c>
      <c r="B4" s="2" t="s">
        <v>457</v>
      </c>
      <c r="C4" s="2" t="s">
        <v>458</v>
      </c>
    </row>
    <row r="5" spans="1:3">
      <c r="A5" s="1" t="s">
        <v>454</v>
      </c>
      <c r="B5" s="2" t="s">
        <v>459</v>
      </c>
      <c r="C5" s="2" t="s">
        <v>460</v>
      </c>
    </row>
    <row r="6" spans="1:3">
      <c r="A6" s="1" t="s">
        <v>454</v>
      </c>
      <c r="B6" s="2" t="s">
        <v>461</v>
      </c>
      <c r="C6" s="2" t="s">
        <v>462</v>
      </c>
    </row>
    <row r="7" spans="1:3">
      <c r="A7" s="1" t="s">
        <v>454</v>
      </c>
      <c r="B7" s="2" t="s">
        <v>463</v>
      </c>
      <c r="C7" s="2" t="s">
        <v>464</v>
      </c>
    </row>
    <row r="8" spans="1:3" ht="32.1">
      <c r="A8" s="1" t="s">
        <v>454</v>
      </c>
      <c r="B8" s="2" t="s">
        <v>465</v>
      </c>
      <c r="C8" s="2" t="s">
        <v>466</v>
      </c>
    </row>
    <row r="9" spans="1:3">
      <c r="A9" s="1" t="s">
        <v>454</v>
      </c>
      <c r="B9" s="2" t="s">
        <v>467</v>
      </c>
      <c r="C9" s="2" t="s">
        <v>468</v>
      </c>
    </row>
    <row r="10" spans="1:3" ht="32.1">
      <c r="A10" s="1" t="s">
        <v>454</v>
      </c>
      <c r="B10" s="2" t="s">
        <v>469</v>
      </c>
      <c r="C10" s="2" t="s">
        <v>470</v>
      </c>
    </row>
    <row r="11" spans="1:3">
      <c r="A11" s="1" t="s">
        <v>454</v>
      </c>
      <c r="B11" s="2" t="s">
        <v>471</v>
      </c>
      <c r="C11" s="2" t="s">
        <v>472</v>
      </c>
    </row>
    <row r="12" spans="1:3">
      <c r="A12" s="1" t="s">
        <v>429</v>
      </c>
      <c r="B12" s="2" t="s">
        <v>473</v>
      </c>
      <c r="C12" s="2" t="s">
        <v>474</v>
      </c>
    </row>
    <row r="13" spans="1:3" ht="32.1">
      <c r="A13" s="1" t="s">
        <v>429</v>
      </c>
      <c r="B13" s="2" t="s">
        <v>475</v>
      </c>
      <c r="C13" s="2" t="s">
        <v>476</v>
      </c>
    </row>
    <row r="14" spans="1:3">
      <c r="A14" s="1" t="s">
        <v>429</v>
      </c>
      <c r="B14" s="2" t="s">
        <v>477</v>
      </c>
      <c r="C14" s="5" t="s">
        <v>478</v>
      </c>
    </row>
    <row r="15" spans="1:3">
      <c r="A15" s="1" t="s">
        <v>429</v>
      </c>
      <c r="B15" s="2" t="s">
        <v>430</v>
      </c>
      <c r="C15" s="2" t="s">
        <v>431</v>
      </c>
    </row>
    <row r="16" spans="1:3">
      <c r="A16" s="1" t="s">
        <v>429</v>
      </c>
      <c r="B16" s="2" t="s">
        <v>479</v>
      </c>
      <c r="C16" s="2" t="s">
        <v>480</v>
      </c>
    </row>
    <row r="17" spans="1:3" ht="32.1">
      <c r="A17" s="1" t="s">
        <v>434</v>
      </c>
      <c r="B17" s="2" t="s">
        <v>481</v>
      </c>
      <c r="C17" s="2" t="s">
        <v>482</v>
      </c>
    </row>
    <row r="18" spans="1:3" ht="32.1">
      <c r="A18" s="1" t="s">
        <v>434</v>
      </c>
      <c r="B18" s="2" t="s">
        <v>435</v>
      </c>
      <c r="C18" s="2" t="s">
        <v>436</v>
      </c>
    </row>
    <row r="19" spans="1:3">
      <c r="A19" s="1" t="s">
        <v>434</v>
      </c>
      <c r="B19" s="2" t="s">
        <v>439</v>
      </c>
      <c r="C19" s="2" t="s">
        <v>440</v>
      </c>
    </row>
    <row r="20" spans="1:3">
      <c r="A20" s="1" t="s">
        <v>434</v>
      </c>
      <c r="B20" s="2" t="s">
        <v>442</v>
      </c>
      <c r="C20" s="2" t="s">
        <v>443</v>
      </c>
    </row>
    <row r="21" spans="1:3">
      <c r="A21" s="1" t="s">
        <v>483</v>
      </c>
      <c r="B21" s="2" t="s">
        <v>484</v>
      </c>
      <c r="C21" s="2" t="s">
        <v>485</v>
      </c>
    </row>
    <row r="22" spans="1:3" ht="32.1">
      <c r="A22" s="1" t="s">
        <v>483</v>
      </c>
      <c r="B22" s="2" t="s">
        <v>486</v>
      </c>
      <c r="C22" s="2" t="s">
        <v>487</v>
      </c>
    </row>
    <row r="23" spans="1:3">
      <c r="A23" s="1" t="s">
        <v>483</v>
      </c>
      <c r="B23" s="2" t="s">
        <v>488</v>
      </c>
      <c r="C23" s="2" t="s">
        <v>489</v>
      </c>
    </row>
    <row r="24" spans="1:3" ht="32.1">
      <c r="A24" s="1" t="s">
        <v>490</v>
      </c>
      <c r="B24" s="2" t="s">
        <v>491</v>
      </c>
      <c r="C24" s="2" t="s">
        <v>492</v>
      </c>
    </row>
    <row r="25" spans="1:3">
      <c r="A25" s="1" t="s">
        <v>445</v>
      </c>
      <c r="B25" s="2" t="s">
        <v>493</v>
      </c>
      <c r="C25" s="2" t="s">
        <v>494</v>
      </c>
    </row>
    <row r="26" spans="1:3">
      <c r="A26" s="1" t="s">
        <v>445</v>
      </c>
      <c r="B26" s="2" t="s">
        <v>446</v>
      </c>
      <c r="C26" s="2" t="s">
        <v>193</v>
      </c>
    </row>
    <row r="27" spans="1:3">
      <c r="A27" s="1" t="s">
        <v>445</v>
      </c>
      <c r="B27" s="2" t="s">
        <v>495</v>
      </c>
      <c r="C27" s="2" t="s">
        <v>496</v>
      </c>
    </row>
    <row r="28" spans="1:3">
      <c r="A28" s="1" t="s">
        <v>445</v>
      </c>
      <c r="B28" s="2" t="s">
        <v>497</v>
      </c>
      <c r="C28" s="2" t="s">
        <v>498</v>
      </c>
    </row>
    <row r="29" spans="1:3">
      <c r="A29" s="1" t="s">
        <v>445</v>
      </c>
      <c r="B29" s="2" t="s">
        <v>499</v>
      </c>
      <c r="C29" s="2" t="s">
        <v>500</v>
      </c>
    </row>
    <row r="30" spans="1:3">
      <c r="A30" s="1" t="s">
        <v>445</v>
      </c>
      <c r="B30" s="2" t="s">
        <v>501</v>
      </c>
      <c r="C30" s="2" t="s">
        <v>502</v>
      </c>
    </row>
    <row r="31" spans="1:3">
      <c r="A31" s="1" t="s">
        <v>445</v>
      </c>
      <c r="B31" s="2" t="s">
        <v>503</v>
      </c>
      <c r="C31" s="2" t="s">
        <v>504</v>
      </c>
    </row>
    <row r="32" spans="1:3">
      <c r="A32" s="1" t="s">
        <v>445</v>
      </c>
      <c r="B32" s="2" t="s">
        <v>505</v>
      </c>
      <c r="C32" s="2" t="s">
        <v>506</v>
      </c>
    </row>
    <row r="33" spans="1:2">
      <c r="A33" s="4"/>
      <c r="B33" s="3"/>
    </row>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BE95A-7E7B-9B47-93E9-C5049EB8D9A2}">
  <dimension ref="A1:G64"/>
  <sheetViews>
    <sheetView topLeftCell="A18" zoomScale="140" zoomScaleNormal="140" workbookViewId="0">
      <selection activeCell="E22" sqref="E22"/>
    </sheetView>
  </sheetViews>
  <sheetFormatPr defaultColWidth="11" defaultRowHeight="15.95"/>
  <cols>
    <col min="1" max="1" width="29" customWidth="1"/>
    <col min="5" max="5" width="85.375" style="7" customWidth="1"/>
    <col min="6" max="6" width="30" style="18" customWidth="1"/>
    <col min="7" max="7" width="25.375" customWidth="1"/>
  </cols>
  <sheetData>
    <row r="1" spans="1:7">
      <c r="A1" s="14" t="s">
        <v>507</v>
      </c>
      <c r="F1" s="20"/>
    </row>
    <row r="2" spans="1:7">
      <c r="F2" s="20"/>
    </row>
    <row r="3" spans="1:7" ht="17.100000000000001">
      <c r="A3" s="14" t="s">
        <v>508</v>
      </c>
      <c r="B3" s="14" t="s">
        <v>509</v>
      </c>
      <c r="C3" s="14" t="s">
        <v>510</v>
      </c>
      <c r="D3" s="14" t="s">
        <v>1</v>
      </c>
      <c r="E3" s="16" t="s">
        <v>511</v>
      </c>
      <c r="F3" s="21" t="s">
        <v>512</v>
      </c>
      <c r="G3" s="14"/>
    </row>
    <row r="4" spans="1:7" ht="98.1">
      <c r="A4" t="s">
        <v>513</v>
      </c>
      <c r="B4" t="s">
        <v>514</v>
      </c>
      <c r="D4" t="s">
        <v>484</v>
      </c>
      <c r="E4" s="5" t="s">
        <v>515</v>
      </c>
      <c r="F4" s="18" t="s">
        <v>516</v>
      </c>
    </row>
    <row r="5" spans="1:7" ht="210">
      <c r="A5" t="s">
        <v>513</v>
      </c>
      <c r="B5" t="s">
        <v>514</v>
      </c>
      <c r="D5" t="s">
        <v>486</v>
      </c>
      <c r="E5" s="5" t="s">
        <v>517</v>
      </c>
      <c r="F5" s="18" t="s">
        <v>516</v>
      </c>
    </row>
    <row r="6" spans="1:7" ht="27.95">
      <c r="A6" t="s">
        <v>513</v>
      </c>
      <c r="B6" t="s">
        <v>514</v>
      </c>
      <c r="D6" t="s">
        <v>488</v>
      </c>
      <c r="E6" s="5" t="s">
        <v>518</v>
      </c>
      <c r="F6" s="18">
        <v>2</v>
      </c>
    </row>
    <row r="7" spans="1:7" ht="210">
      <c r="A7" t="s">
        <v>513</v>
      </c>
      <c r="B7" t="s">
        <v>514</v>
      </c>
      <c r="D7" t="s">
        <v>481</v>
      </c>
      <c r="E7" s="5" t="s">
        <v>519</v>
      </c>
    </row>
    <row r="8" spans="1:7" ht="27.95">
      <c r="A8" t="s">
        <v>513</v>
      </c>
      <c r="B8" t="s">
        <v>514</v>
      </c>
      <c r="D8" t="s">
        <v>435</v>
      </c>
      <c r="E8" s="5" t="s">
        <v>437</v>
      </c>
      <c r="F8" s="18">
        <v>13</v>
      </c>
    </row>
    <row r="9" spans="1:7" ht="69.95">
      <c r="A9" t="s">
        <v>513</v>
      </c>
      <c r="B9" t="s">
        <v>514</v>
      </c>
      <c r="D9" t="s">
        <v>439</v>
      </c>
      <c r="E9" s="5" t="s">
        <v>441</v>
      </c>
      <c r="F9" s="18">
        <v>6</v>
      </c>
    </row>
    <row r="10" spans="1:7" ht="293.10000000000002">
      <c r="A10" t="s">
        <v>513</v>
      </c>
      <c r="B10" t="s">
        <v>514</v>
      </c>
      <c r="D10" t="s">
        <v>442</v>
      </c>
      <c r="E10" s="5" t="s">
        <v>520</v>
      </c>
      <c r="F10" s="18">
        <v>1</v>
      </c>
      <c r="G10" t="s">
        <v>521</v>
      </c>
    </row>
    <row r="11" spans="1:7" ht="69.95">
      <c r="A11" t="s">
        <v>513</v>
      </c>
      <c r="B11" t="s">
        <v>514</v>
      </c>
      <c r="D11" t="s">
        <v>491</v>
      </c>
      <c r="E11" s="5" t="s">
        <v>522</v>
      </c>
      <c r="F11" s="18" t="s">
        <v>516</v>
      </c>
    </row>
    <row r="12" spans="1:7" ht="68.099999999999994">
      <c r="A12" t="s">
        <v>513</v>
      </c>
      <c r="B12" t="s">
        <v>514</v>
      </c>
      <c r="D12" t="s">
        <v>473</v>
      </c>
      <c r="E12" s="7" t="s">
        <v>523</v>
      </c>
      <c r="F12" s="18" t="s">
        <v>516</v>
      </c>
    </row>
    <row r="13" spans="1:7" ht="102">
      <c r="A13" t="s">
        <v>524</v>
      </c>
      <c r="B13" t="s">
        <v>514</v>
      </c>
      <c r="D13" t="s">
        <v>475</v>
      </c>
      <c r="E13" s="7" t="s">
        <v>525</v>
      </c>
      <c r="F13" s="18">
        <v>3</v>
      </c>
    </row>
    <row r="14" spans="1:7" ht="119.1">
      <c r="A14" t="s">
        <v>526</v>
      </c>
      <c r="B14" t="s">
        <v>514</v>
      </c>
      <c r="D14" t="s">
        <v>477</v>
      </c>
      <c r="E14" s="7" t="s">
        <v>527</v>
      </c>
      <c r="F14" s="18" t="s">
        <v>516</v>
      </c>
    </row>
    <row r="15" spans="1:7" ht="252">
      <c r="A15" t="s">
        <v>513</v>
      </c>
      <c r="B15" t="s">
        <v>514</v>
      </c>
      <c r="D15" t="s">
        <v>430</v>
      </c>
      <c r="E15" s="5" t="s">
        <v>528</v>
      </c>
      <c r="F15" s="18">
        <v>2</v>
      </c>
    </row>
    <row r="16" spans="1:7" ht="186.95">
      <c r="A16" t="s">
        <v>513</v>
      </c>
      <c r="B16" t="s">
        <v>514</v>
      </c>
      <c r="D16" t="s">
        <v>479</v>
      </c>
      <c r="E16" s="7" t="s">
        <v>529</v>
      </c>
      <c r="F16" s="18">
        <v>4</v>
      </c>
    </row>
    <row r="17" spans="1:6" ht="168">
      <c r="A17" t="s">
        <v>513</v>
      </c>
      <c r="B17" t="s">
        <v>514</v>
      </c>
      <c r="D17" t="s">
        <v>450</v>
      </c>
      <c r="E17" s="5" t="s">
        <v>530</v>
      </c>
      <c r="F17" s="18" t="s">
        <v>516</v>
      </c>
    </row>
    <row r="18" spans="1:6" ht="252">
      <c r="A18" t="s">
        <v>513</v>
      </c>
      <c r="B18" t="s">
        <v>514</v>
      </c>
      <c r="D18" t="s">
        <v>452</v>
      </c>
      <c r="E18" s="5" t="s">
        <v>531</v>
      </c>
      <c r="F18" s="18" t="s">
        <v>516</v>
      </c>
    </row>
    <row r="19" spans="1:6" ht="56.1">
      <c r="A19" t="s">
        <v>513</v>
      </c>
      <c r="B19" t="s">
        <v>514</v>
      </c>
      <c r="D19" t="s">
        <v>455</v>
      </c>
      <c r="E19" s="5" t="s">
        <v>532</v>
      </c>
      <c r="F19" s="18">
        <v>4</v>
      </c>
    </row>
    <row r="20" spans="1:6" ht="56.1">
      <c r="A20" t="s">
        <v>513</v>
      </c>
      <c r="B20" t="s">
        <v>514</v>
      </c>
      <c r="D20" t="s">
        <v>457</v>
      </c>
      <c r="E20" s="5" t="s">
        <v>533</v>
      </c>
      <c r="F20" s="18">
        <v>3</v>
      </c>
    </row>
    <row r="21" spans="1:6" ht="84">
      <c r="A21" t="s">
        <v>513</v>
      </c>
      <c r="B21" t="s">
        <v>514</v>
      </c>
      <c r="D21" t="s">
        <v>459</v>
      </c>
      <c r="E21" s="5" t="s">
        <v>534</v>
      </c>
      <c r="F21" s="18" t="s">
        <v>516</v>
      </c>
    </row>
    <row r="22" spans="1:6" ht="111.95">
      <c r="A22" t="s">
        <v>513</v>
      </c>
      <c r="B22" t="s">
        <v>514</v>
      </c>
      <c r="D22" t="s">
        <v>461</v>
      </c>
      <c r="E22" s="5" t="s">
        <v>535</v>
      </c>
      <c r="F22" s="18">
        <v>5</v>
      </c>
    </row>
    <row r="23" spans="1:6" ht="42">
      <c r="A23" t="s">
        <v>513</v>
      </c>
      <c r="B23" t="s">
        <v>514</v>
      </c>
      <c r="D23" t="s">
        <v>463</v>
      </c>
      <c r="E23" s="5" t="s">
        <v>536</v>
      </c>
      <c r="F23" s="18" t="s">
        <v>537</v>
      </c>
    </row>
    <row r="24" spans="1:6" ht="42">
      <c r="A24" t="s">
        <v>513</v>
      </c>
      <c r="B24" t="s">
        <v>514</v>
      </c>
      <c r="D24" t="s">
        <v>465</v>
      </c>
      <c r="E24" s="5" t="s">
        <v>538</v>
      </c>
      <c r="F24" s="18" t="s">
        <v>516</v>
      </c>
    </row>
    <row r="25" spans="1:6" ht="56.1">
      <c r="A25" t="s">
        <v>513</v>
      </c>
      <c r="B25" t="s">
        <v>514</v>
      </c>
      <c r="D25" t="s">
        <v>467</v>
      </c>
      <c r="E25" s="5" t="s">
        <v>539</v>
      </c>
      <c r="F25" s="18">
        <v>4</v>
      </c>
    </row>
    <row r="26" spans="1:6" ht="90.95">
      <c r="A26" t="s">
        <v>524</v>
      </c>
      <c r="B26" t="s">
        <v>514</v>
      </c>
      <c r="D26" t="s">
        <v>469</v>
      </c>
      <c r="E26" s="15" t="s">
        <v>540</v>
      </c>
      <c r="F26" s="18" t="s">
        <v>516</v>
      </c>
    </row>
    <row r="27" spans="1:6" ht="51">
      <c r="A27" t="s">
        <v>513</v>
      </c>
      <c r="B27" t="s">
        <v>514</v>
      </c>
      <c r="D27" t="s">
        <v>471</v>
      </c>
      <c r="E27" s="7" t="s">
        <v>541</v>
      </c>
      <c r="F27" s="18">
        <v>1</v>
      </c>
    </row>
    <row r="28" spans="1:6" ht="279.95">
      <c r="A28" t="s">
        <v>513</v>
      </c>
      <c r="B28" t="s">
        <v>514</v>
      </c>
      <c r="D28" t="s">
        <v>505</v>
      </c>
      <c r="E28" s="5" t="s">
        <v>542</v>
      </c>
    </row>
    <row r="29" spans="1:6" ht="84">
      <c r="A29" t="s">
        <v>513</v>
      </c>
      <c r="B29" t="s">
        <v>514</v>
      </c>
      <c r="D29" t="s">
        <v>493</v>
      </c>
      <c r="E29" s="5" t="s">
        <v>543</v>
      </c>
    </row>
    <row r="30" spans="1:6" ht="69.95">
      <c r="A30" t="s">
        <v>513</v>
      </c>
      <c r="B30" t="s">
        <v>514</v>
      </c>
      <c r="D30" t="s">
        <v>446</v>
      </c>
      <c r="E30" s="5" t="s">
        <v>447</v>
      </c>
    </row>
    <row r="31" spans="1:6" ht="182.1">
      <c r="A31" t="s">
        <v>513</v>
      </c>
      <c r="B31" t="s">
        <v>514</v>
      </c>
      <c r="D31" t="s">
        <v>495</v>
      </c>
      <c r="E31" s="5" t="s">
        <v>544</v>
      </c>
    </row>
    <row r="32" spans="1:6" ht="182.1">
      <c r="A32" t="s">
        <v>513</v>
      </c>
      <c r="B32" t="s">
        <v>514</v>
      </c>
      <c r="D32" t="s">
        <v>503</v>
      </c>
      <c r="E32" s="5" t="s">
        <v>544</v>
      </c>
    </row>
    <row r="33" spans="1:6" ht="140.1">
      <c r="A33" t="s">
        <v>513</v>
      </c>
      <c r="B33" t="s">
        <v>514</v>
      </c>
      <c r="D33" t="s">
        <v>501</v>
      </c>
      <c r="E33" s="5" t="s">
        <v>545</v>
      </c>
    </row>
    <row r="34" spans="1:6" ht="84">
      <c r="A34" t="s">
        <v>513</v>
      </c>
      <c r="B34" t="s">
        <v>514</v>
      </c>
      <c r="D34" t="s">
        <v>499</v>
      </c>
      <c r="E34" s="5" t="s">
        <v>546</v>
      </c>
    </row>
    <row r="35" spans="1:6" ht="56.1">
      <c r="A35" t="s">
        <v>513</v>
      </c>
      <c r="B35" t="s">
        <v>514</v>
      </c>
      <c r="D35" t="s">
        <v>497</v>
      </c>
      <c r="E35" s="5" t="s">
        <v>547</v>
      </c>
    </row>
    <row r="36" spans="1:6">
      <c r="A36" t="s">
        <v>526</v>
      </c>
      <c r="B36" t="s">
        <v>514</v>
      </c>
      <c r="D36" t="s">
        <v>548</v>
      </c>
    </row>
    <row r="37" spans="1:6" ht="33.950000000000003">
      <c r="A37" t="s">
        <v>526</v>
      </c>
      <c r="B37" t="s">
        <v>406</v>
      </c>
      <c r="D37" t="s">
        <v>549</v>
      </c>
      <c r="E37" s="7" t="s">
        <v>550</v>
      </c>
      <c r="F37" s="18" t="s">
        <v>516</v>
      </c>
    </row>
    <row r="38" spans="1:6" ht="51">
      <c r="A38" t="s">
        <v>526</v>
      </c>
      <c r="B38" t="s">
        <v>406</v>
      </c>
      <c r="D38" t="s">
        <v>551</v>
      </c>
      <c r="E38" s="7" t="s">
        <v>552</v>
      </c>
      <c r="F38" s="18" t="s">
        <v>516</v>
      </c>
    </row>
    <row r="39" spans="1:6" ht="33.950000000000003">
      <c r="A39" t="s">
        <v>526</v>
      </c>
      <c r="B39" t="s">
        <v>406</v>
      </c>
      <c r="D39" t="s">
        <v>553</v>
      </c>
      <c r="E39" s="7" t="s">
        <v>554</v>
      </c>
      <c r="F39" s="18" t="s">
        <v>516</v>
      </c>
    </row>
    <row r="40" spans="1:6" ht="33.950000000000003">
      <c r="A40" t="s">
        <v>526</v>
      </c>
      <c r="B40" t="s">
        <v>406</v>
      </c>
      <c r="D40" t="s">
        <v>555</v>
      </c>
      <c r="E40" s="7" t="s">
        <v>556</v>
      </c>
      <c r="F40" s="18" t="s">
        <v>516</v>
      </c>
    </row>
    <row r="41" spans="1:6">
      <c r="A41" t="s">
        <v>526</v>
      </c>
      <c r="B41" t="s">
        <v>406</v>
      </c>
      <c r="D41" t="s">
        <v>557</v>
      </c>
      <c r="E41" s="15" t="s">
        <v>558</v>
      </c>
      <c r="F41" s="18" t="s">
        <v>516</v>
      </c>
    </row>
    <row r="42" spans="1:6" ht="17.100000000000001">
      <c r="A42" t="s">
        <v>526</v>
      </c>
      <c r="B42" t="s">
        <v>406</v>
      </c>
      <c r="D42" t="s">
        <v>559</v>
      </c>
      <c r="E42" s="7" t="s">
        <v>560</v>
      </c>
      <c r="F42" s="18" t="s">
        <v>516</v>
      </c>
    </row>
    <row r="43" spans="1:6" ht="51">
      <c r="A43" t="s">
        <v>526</v>
      </c>
      <c r="B43" t="s">
        <v>406</v>
      </c>
      <c r="D43" t="s">
        <v>561</v>
      </c>
      <c r="E43" s="7" t="s">
        <v>562</v>
      </c>
      <c r="F43" s="18" t="s">
        <v>516</v>
      </c>
    </row>
    <row r="44" spans="1:6" ht="51">
      <c r="A44" t="s">
        <v>526</v>
      </c>
      <c r="B44" t="s">
        <v>406</v>
      </c>
      <c r="D44" t="s">
        <v>563</v>
      </c>
      <c r="E44" s="7" t="s">
        <v>564</v>
      </c>
      <c r="F44" s="18">
        <v>2</v>
      </c>
    </row>
    <row r="45" spans="1:6" ht="30.95">
      <c r="A45" t="s">
        <v>526</v>
      </c>
      <c r="B45" t="s">
        <v>406</v>
      </c>
      <c r="D45" t="s">
        <v>565</v>
      </c>
      <c r="E45" s="15" t="s">
        <v>566</v>
      </c>
      <c r="F45" s="18" t="s">
        <v>516</v>
      </c>
    </row>
    <row r="46" spans="1:6" ht="30.95">
      <c r="A46" t="s">
        <v>526</v>
      </c>
      <c r="B46" t="s">
        <v>406</v>
      </c>
      <c r="D46" t="s">
        <v>567</v>
      </c>
      <c r="E46" s="15" t="s">
        <v>568</v>
      </c>
      <c r="F46" s="18" t="s">
        <v>516</v>
      </c>
    </row>
    <row r="47" spans="1:6" ht="30.95">
      <c r="A47" t="s">
        <v>526</v>
      </c>
      <c r="B47" t="s">
        <v>406</v>
      </c>
      <c r="D47" t="s">
        <v>569</v>
      </c>
      <c r="E47" s="15" t="s">
        <v>570</v>
      </c>
      <c r="F47" s="18">
        <v>1</v>
      </c>
    </row>
    <row r="48" spans="1:6" ht="30.95">
      <c r="A48" t="s">
        <v>526</v>
      </c>
      <c r="B48" t="s">
        <v>406</v>
      </c>
      <c r="D48" t="s">
        <v>571</v>
      </c>
      <c r="E48" s="15" t="s">
        <v>572</v>
      </c>
      <c r="F48" s="18" t="s">
        <v>516</v>
      </c>
    </row>
    <row r="49" spans="1:7" ht="30.95">
      <c r="A49" t="s">
        <v>526</v>
      </c>
      <c r="B49" t="s">
        <v>406</v>
      </c>
      <c r="D49" t="s">
        <v>573</v>
      </c>
      <c r="E49" s="15" t="s">
        <v>574</v>
      </c>
      <c r="F49" s="18" t="s">
        <v>516</v>
      </c>
    </row>
    <row r="50" spans="1:7" ht="45.95">
      <c r="A50" t="s">
        <v>526</v>
      </c>
      <c r="B50" t="s">
        <v>406</v>
      </c>
      <c r="D50" t="s">
        <v>575</v>
      </c>
      <c r="E50" s="15" t="s">
        <v>576</v>
      </c>
      <c r="F50" s="18" t="s">
        <v>516</v>
      </c>
    </row>
    <row r="51" spans="1:7" ht="33.950000000000003">
      <c r="A51" t="s">
        <v>526</v>
      </c>
      <c r="B51" t="s">
        <v>406</v>
      </c>
      <c r="D51" t="s">
        <v>577</v>
      </c>
      <c r="E51" s="7" t="s">
        <v>578</v>
      </c>
      <c r="F51" s="18" t="s">
        <v>516</v>
      </c>
    </row>
    <row r="52" spans="1:7" ht="51">
      <c r="A52" t="s">
        <v>526</v>
      </c>
      <c r="B52" t="s">
        <v>406</v>
      </c>
      <c r="D52" t="s">
        <v>579</v>
      </c>
      <c r="E52" s="7" t="s">
        <v>580</v>
      </c>
      <c r="F52" s="19" t="s">
        <v>581</v>
      </c>
    </row>
    <row r="53" spans="1:7" ht="45.95">
      <c r="A53" t="s">
        <v>526</v>
      </c>
      <c r="B53" t="s">
        <v>406</v>
      </c>
      <c r="D53" t="s">
        <v>582</v>
      </c>
      <c r="E53" s="15" t="s">
        <v>583</v>
      </c>
      <c r="F53" s="18">
        <v>4</v>
      </c>
    </row>
    <row r="54" spans="1:7" ht="30.95">
      <c r="A54" t="s">
        <v>526</v>
      </c>
      <c r="B54" t="s">
        <v>406</v>
      </c>
      <c r="D54" t="s">
        <v>584</v>
      </c>
      <c r="E54" s="15" t="s">
        <v>585</v>
      </c>
      <c r="F54" s="18">
        <v>3</v>
      </c>
    </row>
    <row r="55" spans="1:7" ht="45.95">
      <c r="A55" t="s">
        <v>526</v>
      </c>
      <c r="B55" t="s">
        <v>406</v>
      </c>
      <c r="D55" t="s">
        <v>586</v>
      </c>
      <c r="E55" s="15" t="s">
        <v>587</v>
      </c>
      <c r="F55" s="18" t="s">
        <v>516</v>
      </c>
    </row>
    <row r="56" spans="1:7">
      <c r="A56" t="s">
        <v>526</v>
      </c>
      <c r="B56" t="s">
        <v>406</v>
      </c>
      <c r="D56" t="s">
        <v>588</v>
      </c>
      <c r="E56" s="15" t="s">
        <v>589</v>
      </c>
      <c r="F56" s="18">
        <v>2</v>
      </c>
      <c r="G56" t="s">
        <v>590</v>
      </c>
    </row>
    <row r="57" spans="1:7" ht="45.95">
      <c r="A57" t="s">
        <v>526</v>
      </c>
      <c r="B57" t="s">
        <v>406</v>
      </c>
      <c r="D57" t="s">
        <v>591</v>
      </c>
      <c r="E57" s="15" t="s">
        <v>592</v>
      </c>
      <c r="F57" s="18">
        <v>3</v>
      </c>
    </row>
    <row r="58" spans="1:7" ht="33.950000000000003">
      <c r="A58" t="s">
        <v>526</v>
      </c>
      <c r="B58" t="s">
        <v>406</v>
      </c>
      <c r="D58" t="s">
        <v>593</v>
      </c>
      <c r="E58" s="7" t="s">
        <v>594</v>
      </c>
      <c r="F58" s="18" t="s">
        <v>516</v>
      </c>
    </row>
    <row r="59" spans="1:7" ht="17.100000000000001">
      <c r="A59" t="s">
        <v>526</v>
      </c>
      <c r="B59" t="s">
        <v>406</v>
      </c>
      <c r="D59" t="s">
        <v>595</v>
      </c>
      <c r="E59" s="7" t="s">
        <v>596</v>
      </c>
      <c r="F59" s="18">
        <v>8</v>
      </c>
    </row>
    <row r="60" spans="1:7" ht="123" customHeight="1">
      <c r="A60" t="s">
        <v>526</v>
      </c>
      <c r="B60" t="s">
        <v>406</v>
      </c>
      <c r="D60" t="s">
        <v>597</v>
      </c>
      <c r="E60" s="7" t="s">
        <v>598</v>
      </c>
      <c r="F60" s="18" t="s">
        <v>516</v>
      </c>
    </row>
    <row r="61" spans="1:7" ht="33.950000000000003">
      <c r="A61" t="s">
        <v>526</v>
      </c>
      <c r="B61" t="s">
        <v>406</v>
      </c>
      <c r="D61" t="s">
        <v>599</v>
      </c>
      <c r="E61" s="7" t="s">
        <v>600</v>
      </c>
      <c r="F61" s="18" t="s">
        <v>516</v>
      </c>
    </row>
    <row r="62" spans="1:7">
      <c r="E62" s="17"/>
    </row>
    <row r="63" spans="1:7">
      <c r="E63" s="17"/>
    </row>
    <row r="64" spans="1:7">
      <c r="E64"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Banse, Christian</dc:creator>
  <cp:keywords/>
  <dc:description/>
  <cp:lastModifiedBy>Pizhuk David</cp:lastModifiedBy>
  <cp:revision/>
  <dcterms:created xsi:type="dcterms:W3CDTF">2024-10-09T14:35:11Z</dcterms:created>
  <dcterms:modified xsi:type="dcterms:W3CDTF">2025-09-25T14:20:39Z</dcterms:modified>
  <cp:category/>
  <cp:contentStatus/>
</cp:coreProperties>
</file>